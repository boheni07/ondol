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antt_Chart" sheetId="2" state="visible" r:id="rId2"/>
  </sheets>
  <definedNames>
    <definedName name="_xlnm._FilterDatabase" localSheetId="0" hidden="1">'WBS'!$A$4:$I$385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9"/>
    </font>
    <font>
      <name val="맑은 고딕"/>
      <sz val="9"/>
    </font>
  </fonts>
  <fills count="25">
    <fill>
      <patternFill/>
    </fill>
    <fill>
      <patternFill patternType="gray125"/>
    </fill>
    <fill>
      <patternFill patternType="solid">
        <fgColor rgb="002F3E5C"/>
      </patternFill>
    </fill>
    <fill>
      <patternFill patternType="solid">
        <fgColor rgb="00607D8B"/>
      </patternFill>
    </fill>
    <fill>
      <patternFill patternType="solid">
        <fgColor rgb="00FDE7E9"/>
      </patternFill>
    </fill>
    <fill>
      <patternFill patternType="solid">
        <fgColor rgb="00FFF6E5"/>
      </patternFill>
    </fill>
    <fill>
      <patternFill patternType="solid">
        <fgColor rgb="00EEF1F5"/>
      </patternFill>
    </fill>
    <fill>
      <patternFill patternType="solid">
        <fgColor rgb="005C6BC0"/>
      </patternFill>
    </fill>
    <fill>
      <patternFill patternType="solid">
        <fgColor rgb="0042A5F5"/>
      </patternFill>
    </fill>
    <fill>
      <patternFill patternType="solid">
        <fgColor rgb="0026A69A"/>
      </patternFill>
    </fill>
    <fill>
      <patternFill patternType="solid">
        <fgColor rgb="0066BB6A"/>
      </patternFill>
    </fill>
    <fill>
      <patternFill patternType="solid">
        <fgColor rgb="0026C6DA"/>
      </patternFill>
    </fill>
    <fill>
      <patternFill patternType="solid">
        <fgColor rgb="009CCC65"/>
      </patternFill>
    </fill>
    <fill>
      <patternFill patternType="solid">
        <fgColor rgb="008D6E63"/>
      </patternFill>
    </fill>
    <fill>
      <patternFill patternType="solid">
        <fgColor rgb="00FFA726"/>
      </patternFill>
    </fill>
    <fill>
      <patternFill patternType="solid">
        <fgColor rgb="00FF7043"/>
      </patternFill>
    </fill>
    <fill>
      <patternFill patternType="solid">
        <fgColor rgb="00EC407A"/>
      </patternFill>
    </fill>
    <fill>
      <patternFill patternType="solid">
        <fgColor rgb="00AB47BC"/>
      </patternFill>
    </fill>
    <fill>
      <patternFill patternType="solid">
        <fgColor rgb="007E57C2"/>
      </patternFill>
    </fill>
    <fill>
      <patternFill patternType="solid">
        <fgColor rgb="0029B6F6"/>
      </patternFill>
    </fill>
    <fill>
      <patternFill patternType="solid">
        <fgColor rgb="0078909C"/>
      </patternFill>
    </fill>
    <fill>
      <patternFill patternType="solid">
        <fgColor rgb="00EF5350"/>
      </patternFill>
    </fill>
    <fill>
      <patternFill patternType="solid">
        <fgColor rgb="00FFCA28"/>
      </patternFill>
    </fill>
    <fill>
      <patternFill patternType="solid">
        <fgColor rgb="00DCE3EE"/>
      </patternFill>
    </fill>
    <fill>
      <patternFill patternType="solid">
        <fgColor rgb="0044557A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5" fillId="23" borderId="1" pivotButton="0" quotePrefix="0" xfId="0"/>
    <xf numFmtId="0" fontId="5" fillId="23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2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7">
    <dxf>
      <fill>
        <patternFill patternType="solid">
          <fgColor rgb="00607D8B"/>
        </patternFill>
      </fill>
    </dxf>
    <dxf>
      <fill>
        <patternFill patternType="solid">
          <fgColor rgb="005C6BC0"/>
        </patternFill>
      </fill>
    </dxf>
    <dxf>
      <fill>
        <patternFill patternType="solid">
          <fgColor rgb="0042A5F5"/>
        </patternFill>
      </fill>
    </dxf>
    <dxf>
      <fill>
        <patternFill patternType="solid">
          <fgColor rgb="0026A69A"/>
        </patternFill>
      </fill>
    </dxf>
    <dxf>
      <fill>
        <patternFill patternType="solid">
          <fgColor rgb="0066BB6A"/>
        </patternFill>
      </fill>
    </dxf>
    <dxf>
      <fill>
        <patternFill patternType="solid">
          <fgColor rgb="0026C6DA"/>
        </patternFill>
      </fill>
    </dxf>
    <dxf>
      <fill>
        <patternFill patternType="solid">
          <fgColor rgb="009CCC65"/>
        </patternFill>
      </fill>
    </dxf>
    <dxf>
      <fill>
        <patternFill patternType="solid">
          <fgColor rgb="008D6E63"/>
        </patternFill>
      </fill>
    </dxf>
    <dxf>
      <fill>
        <patternFill patternType="solid">
          <fgColor rgb="00FFA726"/>
        </patternFill>
      </fill>
    </dxf>
    <dxf>
      <fill>
        <patternFill patternType="solid">
          <fgColor rgb="00FF7043"/>
        </patternFill>
      </fill>
    </dxf>
    <dxf>
      <fill>
        <patternFill patternType="solid">
          <fgColor rgb="00EC407A"/>
        </patternFill>
      </fill>
    </dxf>
    <dxf>
      <fill>
        <patternFill patternType="solid">
          <fgColor rgb="00AB47BC"/>
        </patternFill>
      </fill>
    </dxf>
    <dxf>
      <fill>
        <patternFill patternType="solid">
          <fgColor rgb="007E57C2"/>
        </patternFill>
      </fill>
    </dxf>
    <dxf>
      <fill>
        <patternFill patternType="solid">
          <fgColor rgb="0029B6F6"/>
        </patternFill>
      </fill>
    </dxf>
    <dxf>
      <fill>
        <patternFill patternType="solid">
          <fgColor rgb="0078909C"/>
        </patternFill>
      </fill>
    </dxf>
    <dxf>
      <fill>
        <patternFill patternType="solid">
          <fgColor rgb="00EF5350"/>
        </patternFill>
      </fill>
    </dxf>
    <dxf>
      <fill>
        <patternFill patternType="solid">
          <fgColor rgb="00FFCA2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0" customWidth="1" min="3" max="3"/>
    <col width="32" customWidth="1" min="4" max="4"/>
    <col width="9" customWidth="1" min="5" max="5"/>
    <col width="8" customWidth="1" min="6" max="6"/>
    <col width="8" customWidth="1" min="7" max="7"/>
    <col width="20" customWidth="1" min="8" max="8"/>
    <col width="70" customWidth="1" min="9" max="9"/>
  </cols>
  <sheetData>
    <row r="1" ht="28" customHeight="1">
      <c r="A1" s="1" t="inlineStr">
        <is>
          <t>OnDol 플랫폼 — WBS (Work Breakdown Structure)</t>
        </is>
      </c>
    </row>
    <row r="2" ht="18" customHeight="1">
      <c r="A2" s="2" t="inlineStr">
        <is>
          <t>추정 단위: XS=0.5d · S=1d · M=2.5d · L=5d · XL=7d   |   우선순위: P0(MVP필수)·P1(권장)·P2(차기)   |   v1.0 / 2026-06-13</t>
        </is>
      </c>
    </row>
    <row r="4" ht="22" customHeight="1">
      <c r="A4" s="3" t="inlineStr">
        <is>
          <t>Phase</t>
        </is>
      </c>
      <c r="B4" s="3" t="inlineStr">
        <is>
          <t>WBS ID</t>
        </is>
      </c>
      <c r="C4" s="3" t="inlineStr">
        <is>
          <t>작업명</t>
        </is>
      </c>
      <c r="D4" s="3" t="inlineStr">
        <is>
          <t>산출물 / API 연동</t>
        </is>
      </c>
      <c r="E4" s="3" t="inlineStr">
        <is>
          <t>공수(코드)</t>
        </is>
      </c>
      <c r="F4" s="3" t="inlineStr">
        <is>
          <t>공수(일)</t>
        </is>
      </c>
      <c r="G4" s="3" t="inlineStr">
        <is>
          <t>우선순위</t>
        </is>
      </c>
      <c r="H4" s="3" t="inlineStr">
        <is>
          <t>Phase 명</t>
        </is>
      </c>
      <c r="I4" s="3" t="inlineStr">
        <is>
          <t>세부사항</t>
        </is>
      </c>
    </row>
    <row r="5">
      <c r="A5" s="4" t="n">
        <v>0</v>
      </c>
      <c r="B5" s="5" t="inlineStr">
        <is>
          <t>0.1</t>
        </is>
      </c>
      <c r="C5" s="6" t="inlineStr">
        <is>
          <t>Git 저장소 초기화 + .gitignore + README</t>
        </is>
      </c>
      <c r="D5" s="6" t="inlineStr">
        <is>
          <t>빈 저장소</t>
        </is>
      </c>
      <c r="E5" s="5" t="inlineStr">
        <is>
          <t>XS</t>
        </is>
      </c>
      <c r="F5" s="5" t="n">
        <v>0.5</v>
      </c>
      <c r="G5" s="7" t="inlineStr">
        <is>
          <t>P0</t>
        </is>
      </c>
      <c r="H5" s="6" t="inlineStr">
        <is>
          <t>프로젝트 셋업</t>
        </is>
      </c>
      <c r="I5" s="33" t="inlineStr">
        <is>
          <t>모노레포 Git 저장소 초기화. .gitignore(node_modules·.env·빌드 산출물·.expo), README에 서비스 개요·로컬 실행법·환경 구성 명시. 참고: CLAUDE.md(하네스 정의)</t>
        </is>
      </c>
    </row>
    <row r="6">
      <c r="A6" s="4" t="n">
        <v>0</v>
      </c>
      <c r="B6" s="5" t="inlineStr">
        <is>
          <t>0.2</t>
        </is>
      </c>
      <c r="C6" s="6" t="inlineStr">
        <is>
          <t>기술 스택 확정 문서 작성</t>
        </is>
      </c>
      <c r="D6" s="6" t="inlineStr">
        <is>
          <t>docs/tech-stack.md</t>
        </is>
      </c>
      <c r="E6" s="5" t="inlineStr">
        <is>
          <t>S</t>
        </is>
      </c>
      <c r="F6" s="5" t="n">
        <v>1</v>
      </c>
      <c r="G6" s="7" t="inlineStr">
        <is>
          <t>P0</t>
        </is>
      </c>
      <c r="H6" s="6" t="inlineStr">
        <is>
          <t>프로젝트 셋업</t>
        </is>
      </c>
      <c r="I6" s="33" t="inlineStr">
        <is>
          <t>프론트(Next.js App Router)·모바일(Expo RN)·백엔드(Supabase/bkend.ai)·DB(PostgreSQL+RLS) 스택 확정 및 근거 문서화. 참고: docs/02-data-specification.md, docs/03-erd.md</t>
        </is>
      </c>
    </row>
    <row r="7">
      <c r="A7" s="4" t="n">
        <v>0</v>
      </c>
      <c r="B7" s="5" t="inlineStr">
        <is>
          <t>0.3</t>
        </is>
      </c>
      <c r="C7" s="6" t="inlineStr">
        <is>
          <t>Next.js(App Router) 프로젝트 부팅</t>
        </is>
      </c>
      <c r="D7" s="6" t="inlineStr">
        <is>
          <t>apps/web</t>
        </is>
      </c>
      <c r="E7" s="5" t="inlineStr">
        <is>
          <t>S</t>
        </is>
      </c>
      <c r="F7" s="5" t="n">
        <v>1</v>
      </c>
      <c r="G7" s="7" t="inlineStr">
        <is>
          <t>P0</t>
        </is>
      </c>
      <c r="H7" s="6" t="inlineStr">
        <is>
          <t>프로젝트 셋업</t>
        </is>
      </c>
      <c r="I7" s="33" t="inlineStr">
        <is>
          <t>apps/web 에 Next.js App Router 프로젝트 부팅(라우팅·서버컴포넌트 구조). 참고: docs/06-information-architecture.md §4 반응형 웹 IA</t>
        </is>
      </c>
    </row>
    <row r="8">
      <c r="A8" s="4" t="n">
        <v>0</v>
      </c>
      <c r="B8" s="5" t="inlineStr">
        <is>
          <t>0.4</t>
        </is>
      </c>
      <c r="C8" s="6" t="inlineStr">
        <is>
          <t>React Native(Expo) 프로젝트 부팅</t>
        </is>
      </c>
      <c r="D8" s="6" t="inlineStr">
        <is>
          <t>apps/mobile</t>
        </is>
      </c>
      <c r="E8" s="5" t="inlineStr">
        <is>
          <t>S</t>
        </is>
      </c>
      <c r="F8" s="5" t="n">
        <v>1</v>
      </c>
      <c r="G8" s="7" t="inlineStr">
        <is>
          <t>P0</t>
        </is>
      </c>
      <c r="H8" s="6" t="inlineStr">
        <is>
          <t>프로젝트 셋업</t>
        </is>
      </c>
      <c r="I8" s="33" t="inlineStr">
        <is>
          <t>apps/mobile 에 Expo 기반 RN 앱 부팅(네비게이션 스택·탭). 참고: docs/06-information-architecture.md §5 모바일 앱 IA</t>
        </is>
      </c>
    </row>
    <row r="9">
      <c r="A9" s="4" t="n">
        <v>0</v>
      </c>
      <c r="B9" s="5" t="inlineStr">
        <is>
          <t>0.5</t>
        </is>
      </c>
      <c r="C9" s="6" t="inlineStr">
        <is>
          <t>Supabase 프로젝트 생성 + 환경변수 분리</t>
        </is>
      </c>
      <c r="D9" s="6" t="inlineStr">
        <is>
          <t>.env.{dev,stg,prod}</t>
        </is>
      </c>
      <c r="E9" s="5" t="inlineStr">
        <is>
          <t>S</t>
        </is>
      </c>
      <c r="F9" s="5" t="n">
        <v>1</v>
      </c>
      <c r="G9" s="7" t="inlineStr">
        <is>
          <t>P0</t>
        </is>
      </c>
      <c r="H9" s="6" t="inlineStr">
        <is>
          <t>프로젝트 셋업</t>
        </is>
      </c>
      <c r="I9" s="33" t="inlineStr">
        <is>
          <t>Supabase 프로젝트 생성 후 dev/stg/prod 3환경 분리(.env.dev/.stg/.prod). 키·URL 환경변수화. 참고: docs/03-erd.md §RLS 정책 요약</t>
        </is>
      </c>
    </row>
    <row r="10">
      <c r="A10" s="4" t="n">
        <v>0</v>
      </c>
      <c r="B10" s="5" t="inlineStr">
        <is>
          <t>0.6</t>
        </is>
      </c>
      <c r="C10" s="6" t="inlineStr">
        <is>
          <t>bkend.ai BaaS 연동</t>
        </is>
      </c>
      <c r="D10" s="6" t="inlineStr">
        <is>
          <t>lib/supabase.ts</t>
        </is>
      </c>
      <c r="E10" s="5" t="inlineStr">
        <is>
          <t>S</t>
        </is>
      </c>
      <c r="F10" s="5" t="n">
        <v>1</v>
      </c>
      <c r="G10" s="7" t="inlineStr">
        <is>
          <t>P0</t>
        </is>
      </c>
      <c r="H10" s="6" t="inlineStr">
        <is>
          <t>프로젝트 셋업</t>
        </is>
      </c>
      <c r="I10" s="33" t="inlineStr">
        <is>
          <t>bkend.ai BaaS(또는 Supabase 직접) 클라이언트 래퍼 구현 — 인증·DB·스토리지 SDK 초기화. 참고: docs/02-data-specification.md §1 테이블 목록, bkit:bkend-quickstart 스킬</t>
        </is>
      </c>
    </row>
    <row r="11">
      <c r="A11" s="4" t="n">
        <v>0</v>
      </c>
      <c r="B11" s="5" t="inlineStr">
        <is>
          <t>0.7</t>
        </is>
      </c>
      <c r="C11" s="6" t="inlineStr">
        <is>
          <t>TypeScript 컨벤션 + ESLint + Prettier</t>
        </is>
      </c>
      <c r="D11" s="6" t="inlineStr">
        <is>
          <t>.eslint.json</t>
        </is>
      </c>
      <c r="E11" s="5" t="inlineStr">
        <is>
          <t>XS</t>
        </is>
      </c>
      <c r="F11" s="5" t="n">
        <v>0.5</v>
      </c>
      <c r="G11" s="7" t="inlineStr">
        <is>
          <t>P0</t>
        </is>
      </c>
      <c r="H11" s="6" t="inlineStr">
        <is>
          <t>프로젝트 셋업</t>
        </is>
      </c>
      <c r="I11" s="33" t="inlineStr">
        <is>
          <t>TypeScript strict + ESLint + Prettier 규칙 정립(AI 협업용 코딩 컨벤션). 참고: bkit:phase-2-convention 스킬</t>
        </is>
      </c>
    </row>
    <row r="12">
      <c r="A12" s="4" t="n">
        <v>0</v>
      </c>
      <c r="B12" s="5" t="inlineStr">
        <is>
          <t>0.8</t>
        </is>
      </c>
      <c r="C12" s="6" t="inlineStr">
        <is>
          <t>폴더 구조 컨벤션 문서</t>
        </is>
      </c>
      <c r="D12" s="6" t="inlineStr">
        <is>
          <t>docs/structure.md</t>
        </is>
      </c>
      <c r="E12" s="5" t="inlineStr">
        <is>
          <t>XS</t>
        </is>
      </c>
      <c r="F12" s="5" t="n">
        <v>0.5</v>
      </c>
      <c r="G12" s="7" t="inlineStr">
        <is>
          <t>P0</t>
        </is>
      </c>
      <c r="H12" s="6" t="inlineStr">
        <is>
          <t>프로젝트 셋업</t>
        </is>
      </c>
      <c r="I12" s="33" t="inlineStr">
        <is>
          <t>도메인 기반 폴더 구조(features/·lib/·components/·app/) 컨벤션 문서화.</t>
        </is>
      </c>
    </row>
    <row r="13">
      <c r="A13" s="4" t="n">
        <v>0</v>
      </c>
      <c r="B13" s="5" t="inlineStr">
        <is>
          <t>0.9</t>
        </is>
      </c>
      <c r="C13" s="6" t="inlineStr">
        <is>
          <t>모노레포(pnpm workspaces)</t>
        </is>
      </c>
      <c r="D13" s="6" t="inlineStr">
        <is>
          <t>pnpm-workspace.yaml</t>
        </is>
      </c>
      <c r="E13" s="5" t="inlineStr">
        <is>
          <t>S</t>
        </is>
      </c>
      <c r="F13" s="5" t="n">
        <v>1</v>
      </c>
      <c r="G13" s="8" t="inlineStr">
        <is>
          <t>P1</t>
        </is>
      </c>
      <c r="H13" s="6" t="inlineStr">
        <is>
          <t>프로젝트 셋업</t>
        </is>
      </c>
      <c r="I13" s="33" t="inlineStr">
        <is>
          <t>pnpm workspaces 로 web·mobile·shared(타입·API 클라이언트·검증 스키마) 패키지 공유 구성.</t>
        </is>
      </c>
    </row>
    <row r="14">
      <c r="A14" s="4" t="n">
        <v>0</v>
      </c>
      <c r="B14" s="5" t="inlineStr">
        <is>
          <t>0.10</t>
        </is>
      </c>
      <c r="C14" s="6" t="inlineStr">
        <is>
          <t>Vercel/Render 배포 환경 셋업</t>
        </is>
      </c>
      <c r="D14" s="6" t="inlineStr">
        <is>
          <t>deploy config</t>
        </is>
      </c>
      <c r="E14" s="5" t="inlineStr">
        <is>
          <t>S</t>
        </is>
      </c>
      <c r="F14" s="5" t="n">
        <v>1</v>
      </c>
      <c r="G14" s="8" t="inlineStr">
        <is>
          <t>P1</t>
        </is>
      </c>
      <c r="H14" s="6" t="inlineStr">
        <is>
          <t>프로젝트 셋업</t>
        </is>
      </c>
      <c r="I14" s="33" t="inlineStr">
        <is>
          <t>Vercel(웹)·EAS/Render(모바일·서버) 배포 환경 사전 셋업. 참고: docs/08-wbs.md §19 CI/CD</t>
        </is>
      </c>
    </row>
    <row r="15">
      <c r="A15" s="4" t="n">
        <v>0</v>
      </c>
      <c r="B15" s="5" t="inlineStr">
        <is>
          <t>0.11</t>
        </is>
      </c>
      <c r="C15" s="6" t="inlineStr">
        <is>
          <t>에러 모니터링(Sentry) 연동</t>
        </is>
      </c>
      <c r="D15" s="6" t="inlineStr">
        <is>
          <t>sentry config</t>
        </is>
      </c>
      <c r="E15" s="5" t="inlineStr">
        <is>
          <t>S</t>
        </is>
      </c>
      <c r="F15" s="5" t="n">
        <v>1</v>
      </c>
      <c r="G15" s="8" t="inlineStr">
        <is>
          <t>P1</t>
        </is>
      </c>
      <c r="H15" s="6" t="inlineStr">
        <is>
          <t>프로젝트 셋업</t>
        </is>
      </c>
      <c r="I15" s="33" t="inlineStr">
        <is>
          <t>Sentry 연동 — 웹·모바일·서버 런타임 에러 트래킹 및 소스맵 업로드.</t>
        </is>
      </c>
    </row>
    <row r="16">
      <c r="A16" s="4" t="n">
        <v>0</v>
      </c>
      <c r="B16" s="5" t="inlineStr">
        <is>
          <t>0.12</t>
        </is>
      </c>
      <c r="C16" s="6" t="inlineStr">
        <is>
          <t>i18n 셋업</t>
        </is>
      </c>
      <c r="D16" s="6" t="inlineStr">
        <is>
          <t>i18n config</t>
        </is>
      </c>
      <c r="E16" s="5" t="inlineStr">
        <is>
          <t>S</t>
        </is>
      </c>
      <c r="F16" s="5" t="n">
        <v>1</v>
      </c>
      <c r="G16" s="9" t="inlineStr">
        <is>
          <t>P2</t>
        </is>
      </c>
      <c r="H16" s="6" t="inlineStr">
        <is>
          <t>프로젝트 셋업</t>
        </is>
      </c>
      <c r="I16" s="33" t="inlineStr">
        <is>
          <t>i18n 셋업(한국어 기본, 영어 차기 릴리스). 참고: docs/07-design-system.md §2 타이포그래피(Pretendard)</t>
        </is>
      </c>
    </row>
    <row r="17">
      <c r="A17" s="10" t="n">
        <v>1</v>
      </c>
      <c r="B17" s="5" t="inlineStr">
        <is>
          <t>1.1.1</t>
        </is>
      </c>
      <c r="C17" s="6" t="inlineStr">
        <is>
          <t>users 테이블 생성</t>
        </is>
      </c>
      <c r="D17" s="6" t="inlineStr">
        <is>
          <t>migration</t>
        </is>
      </c>
      <c r="E17" s="5" t="inlineStr">
        <is>
          <t>XS</t>
        </is>
      </c>
      <c r="F17" s="5" t="n">
        <v>0.5</v>
      </c>
      <c r="G17" s="7" t="inlineStr">
        <is>
          <t>P0</t>
        </is>
      </c>
      <c r="H17" s="6" t="inlineStr">
        <is>
          <t>DB 스키마 + RLS</t>
        </is>
      </c>
      <c r="I17" s="33" t="inlineStr">
        <is>
          <t>users 테이블 — 모든 역할(보호자·당사자·전문가)의 계정. role enum·email·phone·status. 참고: docs/02-data-specification.md §2 핵심 테이블 상세(users), docs/03-erd.md</t>
        </is>
      </c>
    </row>
    <row r="18">
      <c r="A18" s="10" t="n">
        <v>1</v>
      </c>
      <c r="B18" s="5" t="inlineStr">
        <is>
          <t>1.1.2</t>
        </is>
      </c>
      <c r="C18" s="6" t="inlineStr">
        <is>
          <t>persons 테이블 생성</t>
        </is>
      </c>
      <c r="D18" s="6" t="inlineStr">
        <is>
          <t>migration</t>
        </is>
      </c>
      <c r="E18" s="5" t="inlineStr">
        <is>
          <t>XS</t>
        </is>
      </c>
      <c r="F18" s="5" t="n">
        <v>0.5</v>
      </c>
      <c r="G18" s="7" t="inlineStr">
        <is>
          <t>P0</t>
        </is>
      </c>
      <c r="H18" s="6" t="inlineStr">
        <is>
          <t>DB 스키마 + RLS</t>
        </is>
      </c>
      <c r="I18" s="33" t="inlineStr">
        <is>
          <t>persons 테이블 — 기록의 주체인 당사자. birth_date·life_stage(생애주기)·emergency_info(JSONB). 참고: docs/02 §2(persons), §4 Enum(life_stage)</t>
        </is>
      </c>
    </row>
    <row r="19">
      <c r="A19" s="10" t="n">
        <v>1</v>
      </c>
      <c r="B19" s="5" t="inlineStr">
        <is>
          <t>1.1.3</t>
        </is>
      </c>
      <c r="C19" s="6" t="inlineStr">
        <is>
          <t>guardian_persons 연결 테이블</t>
        </is>
      </c>
      <c r="D19" s="6" t="inlineStr">
        <is>
          <t>migration</t>
        </is>
      </c>
      <c r="E19" s="5" t="inlineStr">
        <is>
          <t>XS</t>
        </is>
      </c>
      <c r="F19" s="5" t="n">
        <v>0.5</v>
      </c>
      <c r="G19" s="7" t="inlineStr">
        <is>
          <t>P0</t>
        </is>
      </c>
      <c r="H19" s="6" t="inlineStr">
        <is>
          <t>DB 스키마 + RLS</t>
        </is>
      </c>
      <c r="I19" s="33" t="inlineStr">
        <is>
          <t>guardian_persons — 보호자↔당사자 N:M 매핑, is_primary(주보호자)·relationship. 참고: docs/02 §2(guardian_persons), docs/03-erd.md §도메인별 서브 ERD</t>
        </is>
      </c>
    </row>
    <row r="20">
      <c r="A20" s="10" t="n">
        <v>1</v>
      </c>
      <c r="B20" s="5" t="inlineStr">
        <is>
          <t>1.1.4</t>
        </is>
      </c>
      <c r="C20" s="6" t="inlineStr">
        <is>
          <t>person_accounts 테이블</t>
        </is>
      </c>
      <c r="D20" s="6" t="inlineStr">
        <is>
          <t>migration</t>
        </is>
      </c>
      <c r="E20" s="5" t="inlineStr">
        <is>
          <t>XS</t>
        </is>
      </c>
      <c r="F20" s="5" t="n">
        <v>0.5</v>
      </c>
      <c r="G20" s="7" t="inlineStr">
        <is>
          <t>P0</t>
        </is>
      </c>
      <c r="H20" s="6" t="inlineStr">
        <is>
          <t>DB 스키마 + RLS</t>
        </is>
      </c>
      <c r="I20" s="33" t="inlineStr">
        <is>
          <t>person_accounts — 당사자 선택적 로그인 계정 + 접근성 설정(ui_mode·font_scale·contrast). 참고: docs/02 §2(person_accounts), docs/07 §9 당사자 접근성 모드</t>
        </is>
      </c>
    </row>
    <row r="21">
      <c r="A21" s="10" t="n">
        <v>1</v>
      </c>
      <c r="B21" s="5" t="inlineStr">
        <is>
          <t>1.1.5</t>
        </is>
      </c>
      <c r="C21" s="6" t="inlineStr">
        <is>
          <t>permissions 테이블</t>
        </is>
      </c>
      <c r="D21" s="6" t="inlineStr">
        <is>
          <t>migration</t>
        </is>
      </c>
      <c r="E21" s="5" t="inlineStr">
        <is>
          <t>XS</t>
        </is>
      </c>
      <c r="F21" s="5" t="n">
        <v>0.5</v>
      </c>
      <c r="G21" s="7" t="inlineStr">
        <is>
          <t>P0</t>
        </is>
      </c>
      <c r="H21" s="6" t="inlineStr">
        <is>
          <t>DB 스키마 + RLS</t>
        </is>
      </c>
      <c r="I21" s="33" t="inlineStr">
        <is>
          <t>permissions — 권한 매트릭스 핵심. domain·access_level·valid_from/until. 참고: docs/02 §2(permissions), §4 Enum(domain·access_level)</t>
        </is>
      </c>
    </row>
    <row r="22">
      <c r="A22" s="10" t="n">
        <v>1</v>
      </c>
      <c r="B22" s="5" t="inlineStr">
        <is>
          <t>1.1.6</t>
        </is>
      </c>
      <c r="C22" s="6" t="inlineStr">
        <is>
          <t>permission_logs 테이블</t>
        </is>
      </c>
      <c r="D22" s="6" t="inlineStr">
        <is>
          <t>migration</t>
        </is>
      </c>
      <c r="E22" s="5" t="inlineStr">
        <is>
          <t>XS</t>
        </is>
      </c>
      <c r="F22" s="5" t="n">
        <v>0.5</v>
      </c>
      <c r="G22" s="7" t="inlineStr">
        <is>
          <t>P0</t>
        </is>
      </c>
      <c r="H22" s="6" t="inlineStr">
        <is>
          <t>DB 스키마 + RLS</t>
        </is>
      </c>
      <c r="I22" s="33" t="inlineStr">
        <is>
          <t>permission_logs — 권한 부여/수정/회수 이력(감사 추적). 참고: docs/02 §2(permission_logs), docs/05-workflows-feature.md §2·§3</t>
        </is>
      </c>
    </row>
    <row r="23">
      <c r="A23" s="10" t="n">
        <v>1</v>
      </c>
      <c r="B23" s="5" t="inlineStr">
        <is>
          <t>1.1.7</t>
        </is>
      </c>
      <c r="C23" s="6" t="inlineStr">
        <is>
          <t>records 테이블(JSONB content)</t>
        </is>
      </c>
      <c r="D23" s="6" t="inlineStr">
        <is>
          <t>migration</t>
        </is>
      </c>
      <c r="E23" s="5" t="inlineStr">
        <is>
          <t>S</t>
        </is>
      </c>
      <c r="F23" s="5" t="n">
        <v>1</v>
      </c>
      <c r="G23" s="7" t="inlineStr">
        <is>
          <t>P0</t>
        </is>
      </c>
      <c r="H23" s="6" t="inlineStr">
        <is>
          <t>DB 스키마 + RLS</t>
        </is>
      </c>
      <c r="I23" s="33" t="inlineStr">
        <is>
          <t>records — 6도메인 기록 공통 테이블. domain·record_type·content(JSONB)·is_draft·is_milestone. 참고: docs/02 §2(records), §3 JSONB content 스키마</t>
        </is>
      </c>
    </row>
    <row r="24">
      <c r="A24" s="10" t="n">
        <v>1</v>
      </c>
      <c r="B24" s="5" t="inlineStr">
        <is>
          <t>1.1.8</t>
        </is>
      </c>
      <c r="C24" s="6" t="inlineStr">
        <is>
          <t>self_expressions 테이블</t>
        </is>
      </c>
      <c r="D24" s="6" t="inlineStr">
        <is>
          <t>migration</t>
        </is>
      </c>
      <c r="E24" s="5" t="inlineStr">
        <is>
          <t>XS</t>
        </is>
      </c>
      <c r="F24" s="5" t="n">
        <v>0.5</v>
      </c>
      <c r="G24" s="7" t="inlineStr">
        <is>
          <t>P0</t>
        </is>
      </c>
      <c r="H24" s="6" t="inlineStr">
        <is>
          <t>DB 스키마 + RLS</t>
        </is>
      </c>
      <c r="I24" s="33" t="inlineStr">
        <is>
          <t>self_expressions — 당사자 자기표현(날짜별 UNIQUE). mood·activities·content(JSONB). 참고: docs/02 §2(self_expressions), §3 JSONB</t>
        </is>
      </c>
    </row>
    <row r="25">
      <c r="A25" s="10" t="n">
        <v>1</v>
      </c>
      <c r="B25" s="5" t="inlineStr">
        <is>
          <t>1.1.9</t>
        </is>
      </c>
      <c r="C25" s="6" t="inlineStr">
        <is>
          <t>record_files 테이블</t>
        </is>
      </c>
      <c r="D25" s="6" t="inlineStr">
        <is>
          <t>migration</t>
        </is>
      </c>
      <c r="E25" s="5" t="inlineStr">
        <is>
          <t>XS</t>
        </is>
      </c>
      <c r="F25" s="5" t="n">
        <v>0.5</v>
      </c>
      <c r="G25" s="7" t="inlineStr">
        <is>
          <t>P0</t>
        </is>
      </c>
      <c r="H25" s="6" t="inlineStr">
        <is>
          <t>DB 스키마 + RLS</t>
        </is>
      </c>
      <c r="I25" s="33" t="inlineStr">
        <is>
          <t>record_files — 기록·자기표현 첨부 파일 메타. storage_path·sensitivity·mime. 참고: docs/02 §2(record_files), docs/05 §5 파일 첨부</t>
        </is>
      </c>
    </row>
    <row r="26">
      <c r="A26" s="10" t="n">
        <v>1</v>
      </c>
      <c r="B26" s="5" t="inlineStr">
        <is>
          <t>1.1.10</t>
        </is>
      </c>
      <c r="C26" s="6" t="inlineStr">
        <is>
          <t>life_milestones 테이블</t>
        </is>
      </c>
      <c r="D26" s="6" t="inlineStr">
        <is>
          <t>migration</t>
        </is>
      </c>
      <c r="E26" s="5" t="inlineStr">
        <is>
          <t>XS</t>
        </is>
      </c>
      <c r="F26" s="5" t="n">
        <v>0.5</v>
      </c>
      <c r="G26" s="7" t="inlineStr">
        <is>
          <t>P0</t>
        </is>
      </c>
      <c r="H26" s="6" t="inlineStr">
        <is>
          <t>DB 스키마 + RLS</t>
        </is>
      </c>
      <c r="I26" s="33" t="inlineStr">
        <is>
          <t>life_milestones — 생애주기 이정표(진단·입학·졸업 등). category·event_date. 참고: docs/02 §2(life_milestones), docs/05 §6 타임라인</t>
        </is>
      </c>
    </row>
    <row r="27">
      <c r="A27" s="10" t="n">
        <v>1</v>
      </c>
      <c r="B27" s="5" t="inlineStr">
        <is>
          <t>1.1.11</t>
        </is>
      </c>
      <c r="C27" s="6" t="inlineStr">
        <is>
          <t>handovers 테이블</t>
        </is>
      </c>
      <c r="D27" s="6" t="inlineStr">
        <is>
          <t>migration</t>
        </is>
      </c>
      <c r="E27" s="5" t="inlineStr">
        <is>
          <t>XS</t>
        </is>
      </c>
      <c r="F27" s="5" t="n">
        <v>0.5</v>
      </c>
      <c r="G27" s="7" t="inlineStr">
        <is>
          <t>P0</t>
        </is>
      </c>
      <c r="H27" s="6" t="inlineStr">
        <is>
          <t>DB 스키마 + RLS</t>
        </is>
      </c>
      <c r="I27" s="33" t="inlineStr">
        <is>
          <t>handovers — 전문가 인수인계. domain·summary·linked_record_ids·is_confirmed. 참고: docs/02 §2(handovers), docs/05 §7 인수인계</t>
        </is>
      </c>
    </row>
    <row r="28">
      <c r="A28" s="10" t="n">
        <v>1</v>
      </c>
      <c r="B28" s="5" t="inlineStr">
        <is>
          <t>1.1.12</t>
        </is>
      </c>
      <c r="C28" s="6" t="inlineStr">
        <is>
          <t>access_logs 테이블(INSERT-only)</t>
        </is>
      </c>
      <c r="D28" s="6" t="inlineStr">
        <is>
          <t>migration</t>
        </is>
      </c>
      <c r="E28" s="5" t="inlineStr">
        <is>
          <t>XS</t>
        </is>
      </c>
      <c r="F28" s="5" t="n">
        <v>0.5</v>
      </c>
      <c r="G28" s="7" t="inlineStr">
        <is>
          <t>P0</t>
        </is>
      </c>
      <c r="H28" s="6" t="inlineStr">
        <is>
          <t>DB 스키마 + RLS</t>
        </is>
      </c>
      <c r="I28" s="33" t="inlineStr">
        <is>
          <t>access_logs — INSERT-only 접근 로그(불변). actor·action·target. 참고: docs/02 §2(access_logs), docs/03 §RLS 정책 요약</t>
        </is>
      </c>
    </row>
    <row r="29">
      <c r="A29" s="10" t="n">
        <v>1</v>
      </c>
      <c r="B29" s="5" t="inlineStr">
        <is>
          <t>1.1.13</t>
        </is>
      </c>
      <c r="C29" s="6" t="inlineStr">
        <is>
          <t>notifications 테이블</t>
        </is>
      </c>
      <c r="D29" s="6" t="inlineStr">
        <is>
          <t>migration</t>
        </is>
      </c>
      <c r="E29" s="5" t="inlineStr">
        <is>
          <t>XS</t>
        </is>
      </c>
      <c r="F29" s="5" t="n">
        <v>0.5</v>
      </c>
      <c r="G29" s="7" t="inlineStr">
        <is>
          <t>P0</t>
        </is>
      </c>
      <c r="H29" s="6" t="inlineStr">
        <is>
          <t>DB 스키마 + RLS</t>
        </is>
      </c>
      <c r="I29" s="33" t="inlineStr">
        <is>
          <t>notifications — 알림. type·payload(JSONB)·self_expression_id FK·is_read. 참고: docs/02 §2(notifications), §3 JSONB, docs/05 §8 알림</t>
        </is>
      </c>
    </row>
    <row r="30">
      <c r="A30" s="10" t="n">
        <v>1</v>
      </c>
      <c r="B30" s="5" t="inlineStr">
        <is>
          <t>1.2.1</t>
        </is>
      </c>
      <c r="C30" s="6" t="inlineStr">
        <is>
          <t>records SELECT RLS</t>
        </is>
      </c>
      <c r="D30" s="6" t="inlineStr">
        <is>
          <t>RLS policy</t>
        </is>
      </c>
      <c r="E30" s="5" t="inlineStr">
        <is>
          <t>M</t>
        </is>
      </c>
      <c r="F30" s="5" t="n">
        <v>2.5</v>
      </c>
      <c r="G30" s="7" t="inlineStr">
        <is>
          <t>P0</t>
        </is>
      </c>
      <c r="H30" s="6" t="inlineStr">
        <is>
          <t>DB 스키마 + RLS</t>
        </is>
      </c>
      <c r="I30" s="33" t="inlineStr">
        <is>
          <t>records SELECT RLS — 보호자(매핑)·당사자 본인·권한자(permissions 유효기간 내)만 조회. 참고: docs/03 §RLS 정책 요약, docs/02 §6 제약조건</t>
        </is>
      </c>
    </row>
    <row r="31">
      <c r="A31" s="10" t="n">
        <v>1</v>
      </c>
      <c r="B31" s="5" t="inlineStr">
        <is>
          <t>1.2.2</t>
        </is>
      </c>
      <c r="C31" s="6" t="inlineStr">
        <is>
          <t>records INSERT/UPDATE RLS</t>
        </is>
      </c>
      <c r="D31" s="6" t="inlineStr">
        <is>
          <t>RLS policy</t>
        </is>
      </c>
      <c r="E31" s="5" t="inlineStr">
        <is>
          <t>S</t>
        </is>
      </c>
      <c r="F31" s="5" t="n">
        <v>1</v>
      </c>
      <c r="G31" s="7" t="inlineStr">
        <is>
          <t>P0</t>
        </is>
      </c>
      <c r="H31" s="6" t="inlineStr">
        <is>
          <t>DB 스키마 + RLS</t>
        </is>
      </c>
      <c r="I31" s="33" t="inlineStr">
        <is>
          <t>records INSERT/UPDATE RLS — 도메인·access_level(write 이상) 검증. 참고: docs/03 §RLS, docs/05 §4 기록 작성 공통</t>
        </is>
      </c>
    </row>
    <row r="32">
      <c r="A32" s="10" t="n">
        <v>1</v>
      </c>
      <c r="B32" s="5" t="inlineStr">
        <is>
          <t>1.2.3</t>
        </is>
      </c>
      <c r="C32" s="6" t="inlineStr">
        <is>
          <t>self_expressions 당사자 본인만 작성</t>
        </is>
      </c>
      <c r="D32" s="6" t="inlineStr">
        <is>
          <t>RLS policy</t>
        </is>
      </c>
      <c r="E32" s="5" t="inlineStr">
        <is>
          <t>S</t>
        </is>
      </c>
      <c r="F32" s="5" t="n">
        <v>1</v>
      </c>
      <c r="G32" s="7" t="inlineStr">
        <is>
          <t>P0</t>
        </is>
      </c>
      <c r="H32" s="6" t="inlineStr">
        <is>
          <t>DB 스키마 + RLS</t>
        </is>
      </c>
      <c r="I32" s="33" t="inlineStr">
        <is>
          <t>self_expressions RLS — 당사자 본인 계정만 작성/수정(당일). 참고: docs/03 §RLS, docs/04-workflows-user.md §2 당사자</t>
        </is>
      </c>
    </row>
    <row r="33">
      <c r="A33" s="10" t="n">
        <v>1</v>
      </c>
      <c r="B33" s="5" t="inlineStr">
        <is>
          <t>1.2.4</t>
        </is>
      </c>
      <c r="C33" s="6" t="inlineStr">
        <is>
          <t>access_logs INSERT-only 정책</t>
        </is>
      </c>
      <c r="D33" s="6" t="inlineStr">
        <is>
          <t>RLS policy</t>
        </is>
      </c>
      <c r="E33" s="5" t="inlineStr">
        <is>
          <t>XS</t>
        </is>
      </c>
      <c r="F33" s="5" t="n">
        <v>0.5</v>
      </c>
      <c r="G33" s="7" t="inlineStr">
        <is>
          <t>P0</t>
        </is>
      </c>
      <c r="H33" s="6" t="inlineStr">
        <is>
          <t>DB 스키마 + RLS</t>
        </is>
      </c>
      <c r="I33" s="33" t="inlineStr">
        <is>
          <t>access_logs INSERT-only 정책 — UPDATE/DELETE 차단으로 로그 불변성 보장. 참고: docs/03 §RLS, docs/08-wbs.md §17.2.8</t>
        </is>
      </c>
    </row>
    <row r="34">
      <c r="A34" s="10" t="n">
        <v>1</v>
      </c>
      <c r="B34" s="5" t="inlineStr">
        <is>
          <t>1.2.5</t>
        </is>
      </c>
      <c r="C34" s="6" t="inlineStr">
        <is>
          <t>permissions 보호자만 변경 가능</t>
        </is>
      </c>
      <c r="D34" s="6" t="inlineStr">
        <is>
          <t>RLS policy</t>
        </is>
      </c>
      <c r="E34" s="5" t="inlineStr">
        <is>
          <t>S</t>
        </is>
      </c>
      <c r="F34" s="5" t="n">
        <v>1</v>
      </c>
      <c r="G34" s="7" t="inlineStr">
        <is>
          <t>P0</t>
        </is>
      </c>
      <c r="H34" s="6" t="inlineStr">
        <is>
          <t>DB 스키마 + RLS</t>
        </is>
      </c>
      <c r="I34" s="33" t="inlineStr">
        <is>
          <t>permissions 변경 RLS — 주보호자만 권한 부여/회수 가능. 참고: docs/03 §RLS, docs/05 §2 권한 부여</t>
        </is>
      </c>
    </row>
    <row r="35">
      <c r="A35" s="11" t="n">
        <v>2</v>
      </c>
      <c r="B35" s="5" t="inlineStr">
        <is>
          <t>2.1</t>
        </is>
      </c>
      <c r="C35" s="6" t="inlineStr">
        <is>
          <t>이메일/비밀번호 회원가입 API</t>
        </is>
      </c>
      <c r="D35" s="6" t="inlineStr">
        <is>
          <t>POST /signup</t>
        </is>
      </c>
      <c r="E35" s="5" t="inlineStr">
        <is>
          <t>S</t>
        </is>
      </c>
      <c r="F35" s="5" t="n">
        <v>1</v>
      </c>
      <c r="G35" s="7" t="inlineStr">
        <is>
          <t>P0</t>
        </is>
      </c>
      <c r="H35" s="6" t="inlineStr">
        <is>
          <t>인증 (Auth)</t>
        </is>
      </c>
      <c r="I35" s="33" t="inlineStr">
        <is>
          <t>이메일/비밀번호 회원가입. role 선택 분기(보호자·당사자·전문가). users insert + 이메일 인증 트리거. 참고: docs/05 §1 회원가입 &amp; 역할별 온보딩, wireframes/web/11-signup-role.svg·12-signup-profile.svg</t>
        </is>
      </c>
    </row>
    <row r="36">
      <c r="A36" s="11" t="n">
        <v>2</v>
      </c>
      <c r="B36" s="5" t="inlineStr">
        <is>
          <t>2.2</t>
        </is>
      </c>
      <c r="C36" s="6" t="inlineStr">
        <is>
          <t>이메일/비밀번호 로그인 API</t>
        </is>
      </c>
      <c r="D36" s="6" t="inlineStr">
        <is>
          <t>POST /login</t>
        </is>
      </c>
      <c r="E36" s="5" t="inlineStr">
        <is>
          <t>S</t>
        </is>
      </c>
      <c r="F36" s="5" t="n">
        <v>1</v>
      </c>
      <c r="G36" s="7" t="inlineStr">
        <is>
          <t>P0</t>
        </is>
      </c>
      <c r="H36" s="6" t="inlineStr">
        <is>
          <t>인증 (Auth)</t>
        </is>
      </c>
      <c r="I36" s="33" t="inlineStr">
        <is>
          <t>이메일/비밀번호 로그인 + JWT 발급·세션. 참고: docs/04 §7 역할별 진입점 비교, wireframes/web/01-login.svg, bkit:bkend-auth 스킬</t>
        </is>
      </c>
    </row>
    <row r="37">
      <c r="A37" s="11" t="n">
        <v>2</v>
      </c>
      <c r="B37" s="5" t="inlineStr">
        <is>
          <t>2.3</t>
        </is>
      </c>
      <c r="C37" s="6" t="inlineStr">
        <is>
          <t>로그아웃 API</t>
        </is>
      </c>
      <c r="D37" s="6" t="inlineStr">
        <is>
          <t>POST /logout</t>
        </is>
      </c>
      <c r="E37" s="5" t="inlineStr">
        <is>
          <t>XS</t>
        </is>
      </c>
      <c r="F37" s="5" t="n">
        <v>0.5</v>
      </c>
      <c r="G37" s="7" t="inlineStr">
        <is>
          <t>P0</t>
        </is>
      </c>
      <c r="H37" s="6" t="inlineStr">
        <is>
          <t>인증 (Auth)</t>
        </is>
      </c>
      <c r="I37" s="33" t="inlineStr">
        <is>
          <t>로그아웃 — 세션/토큰 무효화. 참고: bkit:bkend-auth 스킬</t>
        </is>
      </c>
    </row>
    <row r="38">
      <c r="A38" s="11" t="n">
        <v>2</v>
      </c>
      <c r="B38" s="5" t="inlineStr">
        <is>
          <t>2.4</t>
        </is>
      </c>
      <c r="C38" s="6" t="inlineStr">
        <is>
          <t>이메일 인증 발송 API</t>
        </is>
      </c>
      <c r="D38" s="6" t="inlineStr">
        <is>
          <t>POST /verify-email</t>
        </is>
      </c>
      <c r="E38" s="5" t="inlineStr">
        <is>
          <t>S</t>
        </is>
      </c>
      <c r="F38" s="5" t="n">
        <v>1</v>
      </c>
      <c r="G38" s="7" t="inlineStr">
        <is>
          <t>P0</t>
        </is>
      </c>
      <c r="H38" s="6" t="inlineStr">
        <is>
          <t>인증 (Auth)</t>
        </is>
      </c>
      <c r="I38" s="33" t="inlineStr">
        <is>
          <t>이메일 인증 메일 발송(토큰 생성·만료). 참고: docs/05 §1, wireframes/web/13-signup-verify.svg</t>
        </is>
      </c>
    </row>
    <row r="39">
      <c r="A39" s="11" t="n">
        <v>2</v>
      </c>
      <c r="B39" s="5" t="inlineStr">
        <is>
          <t>2.5</t>
        </is>
      </c>
      <c r="C39" s="6" t="inlineStr">
        <is>
          <t>이메일 인증 확인 API</t>
        </is>
      </c>
      <c r="D39" s="6" t="inlineStr">
        <is>
          <t>POST /verify-email/confirm</t>
        </is>
      </c>
      <c r="E39" s="5" t="inlineStr">
        <is>
          <t>S</t>
        </is>
      </c>
      <c r="F39" s="5" t="n">
        <v>1</v>
      </c>
      <c r="G39" s="7" t="inlineStr">
        <is>
          <t>P0</t>
        </is>
      </c>
      <c r="H39" s="6" t="inlineStr">
        <is>
          <t>인증 (Auth)</t>
        </is>
      </c>
      <c r="I39" s="33" t="inlineStr">
        <is>
          <t>이메일 인증 토큰 확인 + users.status 활성화. 참고: docs/05 §1 온보딩, wireframes/web/13-signup-verify.svg</t>
        </is>
      </c>
    </row>
    <row r="40">
      <c r="A40" s="11" t="n">
        <v>2</v>
      </c>
      <c r="B40" s="5" t="inlineStr">
        <is>
          <t>2.6</t>
        </is>
      </c>
      <c r="C40" s="6" t="inlineStr">
        <is>
          <t>비밀번호 재설정 요청 API</t>
        </is>
      </c>
      <c r="D40" s="6" t="inlineStr">
        <is>
          <t>POST /reset-password</t>
        </is>
      </c>
      <c r="E40" s="5" t="inlineStr">
        <is>
          <t>S</t>
        </is>
      </c>
      <c r="F40" s="5" t="n">
        <v>1</v>
      </c>
      <c r="G40" s="7" t="inlineStr">
        <is>
          <t>P0</t>
        </is>
      </c>
      <c r="H40" s="6" t="inlineStr">
        <is>
          <t>인증 (Auth)</t>
        </is>
      </c>
      <c r="I40" s="33" t="inlineStr">
        <is>
          <t>비밀번호 재설정 요청(재설정 토큰 메일). 참고: wireframes/web/15-reset-password.svg</t>
        </is>
      </c>
    </row>
    <row r="41">
      <c r="A41" s="11" t="n">
        <v>2</v>
      </c>
      <c r="B41" s="5" t="inlineStr">
        <is>
          <t>2.7</t>
        </is>
      </c>
      <c r="C41" s="6" t="inlineStr">
        <is>
          <t>비밀번호 재설정 확인 API</t>
        </is>
      </c>
      <c r="D41" s="6" t="inlineStr">
        <is>
          <t>POST /reset-password/confirm</t>
        </is>
      </c>
      <c r="E41" s="5" t="inlineStr">
        <is>
          <t>S</t>
        </is>
      </c>
      <c r="F41" s="5" t="n">
        <v>1</v>
      </c>
      <c r="G41" s="7" t="inlineStr">
        <is>
          <t>P0</t>
        </is>
      </c>
      <c r="H41" s="6" t="inlineStr">
        <is>
          <t>인증 (Auth)</t>
        </is>
      </c>
      <c r="I41" s="33" t="inlineStr">
        <is>
          <t>비밀번호 재설정 확인 + 해시 갱신. 참고: wireframes/web/15-reset-password.svg</t>
        </is>
      </c>
    </row>
    <row r="42">
      <c r="A42" s="11" t="n">
        <v>2</v>
      </c>
      <c r="B42" s="5" t="inlineStr">
        <is>
          <t>2.8</t>
        </is>
      </c>
      <c r="C42" s="6" t="inlineStr">
        <is>
          <t>초대 링크 생성 API</t>
        </is>
      </c>
      <c r="D42" s="6" t="inlineStr">
        <is>
          <t>POST /invites</t>
        </is>
      </c>
      <c r="E42" s="5" t="inlineStr">
        <is>
          <t>S</t>
        </is>
      </c>
      <c r="F42" s="5" t="n">
        <v>1</v>
      </c>
      <c r="G42" s="7" t="inlineStr">
        <is>
          <t>P0</t>
        </is>
      </c>
      <c r="H42" s="6" t="inlineStr">
        <is>
          <t>인증 (Auth)</t>
        </is>
      </c>
      <c r="I42" s="33" t="inlineStr">
        <is>
          <t>초대 링크 생성 — 보호자가 전문가/공동보호자 초대(토큰·도메인·만료). 참고: docs/05 §1 온보딩·§2 권한 부여</t>
        </is>
      </c>
    </row>
    <row r="43">
      <c r="A43" s="11" t="n">
        <v>2</v>
      </c>
      <c r="B43" s="5" t="inlineStr">
        <is>
          <t>2.9</t>
        </is>
      </c>
      <c r="C43" s="6" t="inlineStr">
        <is>
          <t>초대 링크 수락 API</t>
        </is>
      </c>
      <c r="D43" s="6" t="inlineStr">
        <is>
          <t>POST /invites/:token/accept</t>
        </is>
      </c>
      <c r="E43" s="5" t="inlineStr">
        <is>
          <t>M</t>
        </is>
      </c>
      <c r="F43" s="5" t="n">
        <v>2.5</v>
      </c>
      <c r="G43" s="7" t="inlineStr">
        <is>
          <t>P0</t>
        </is>
      </c>
      <c r="H43" s="6" t="inlineStr">
        <is>
          <t>인증 (Auth)</t>
        </is>
      </c>
      <c r="I43" s="33" t="inlineStr">
        <is>
          <t>초대 링크 수락 — 토큰 검증 후 신규 가입 또는 기존 계정 연결 분기 + 권한 자동 매핑. 참고: docs/05 §1, wireframes/web/14-invite-accept.svg</t>
        </is>
      </c>
    </row>
    <row r="44">
      <c r="A44" s="11" t="n">
        <v>2</v>
      </c>
      <c r="B44" s="5" t="inlineStr">
        <is>
          <t>2.10</t>
        </is>
      </c>
      <c r="C44" s="6" t="inlineStr">
        <is>
          <t>카카오 소셜 로그인 OAuth</t>
        </is>
      </c>
      <c r="D44" s="6" t="inlineStr">
        <is>
          <t>POST /auth/kakao</t>
        </is>
      </c>
      <c r="E44" s="5" t="inlineStr">
        <is>
          <t>M</t>
        </is>
      </c>
      <c r="F44" s="5" t="n">
        <v>2.5</v>
      </c>
      <c r="G44" s="8" t="inlineStr">
        <is>
          <t>P1</t>
        </is>
      </c>
      <c r="H44" s="6" t="inlineStr">
        <is>
          <t>인증 (Auth)</t>
        </is>
      </c>
      <c r="I44" s="33" t="inlineStr">
        <is>
          <t>카카오 OAuth 소셜 로그인(P1). 참고: docs/04 §7 진입점, bkit:bkend-auth 스킬</t>
        </is>
      </c>
    </row>
    <row r="45">
      <c r="A45" s="11" t="n">
        <v>2</v>
      </c>
      <c r="B45" s="5" t="inlineStr">
        <is>
          <t>2.11</t>
        </is>
      </c>
      <c r="C45" s="6" t="inlineStr">
        <is>
          <t>네이버 소셜 로그인 OAuth</t>
        </is>
      </c>
      <c r="D45" s="6" t="inlineStr">
        <is>
          <t>POST /auth/naver</t>
        </is>
      </c>
      <c r="E45" s="5" t="inlineStr">
        <is>
          <t>M</t>
        </is>
      </c>
      <c r="F45" s="5" t="n">
        <v>2.5</v>
      </c>
      <c r="G45" s="8" t="inlineStr">
        <is>
          <t>P1</t>
        </is>
      </c>
      <c r="H45" s="6" t="inlineStr">
        <is>
          <t>인증 (Auth)</t>
        </is>
      </c>
      <c r="I45" s="33" t="inlineStr">
        <is>
          <t>네이버 OAuth 소셜 로그인(P1). 참고: docs/04 §7 진입점, bkit:bkend-auth 스킬</t>
        </is>
      </c>
    </row>
    <row r="46">
      <c r="A46" s="12" t="n">
        <v>3</v>
      </c>
      <c r="B46" s="5" t="inlineStr">
        <is>
          <t>3.1.1</t>
        </is>
      </c>
      <c r="C46" s="6" t="inlineStr">
        <is>
          <t>사용자 프로필 단건 조회</t>
        </is>
      </c>
      <c r="D46" s="6" t="inlineStr">
        <is>
          <t>GET /users/:id</t>
        </is>
      </c>
      <c r="E46" s="5" t="inlineStr">
        <is>
          <t>XS</t>
        </is>
      </c>
      <c r="F46" s="5" t="n">
        <v>0.5</v>
      </c>
      <c r="G46" s="7" t="inlineStr">
        <is>
          <t>P0</t>
        </is>
      </c>
      <c r="H46" s="6" t="inlineStr">
        <is>
          <t>사용자·당사자·매핑</t>
        </is>
      </c>
      <c r="I46" s="33" t="inlineStr">
        <is>
          <t>사용자 본인/타 사용자 프로필 단건 조회(권한 범위 내). 참고: docs/02 §2(users)</t>
        </is>
      </c>
    </row>
    <row r="47">
      <c r="A47" s="12" t="n">
        <v>3</v>
      </c>
      <c r="B47" s="5" t="inlineStr">
        <is>
          <t>3.1.2</t>
        </is>
      </c>
      <c r="C47" s="6" t="inlineStr">
        <is>
          <t>사용자 프로필 수정</t>
        </is>
      </c>
      <c r="D47" s="6" t="inlineStr">
        <is>
          <t>PATCH /users/:id</t>
        </is>
      </c>
      <c r="E47" s="5" t="inlineStr">
        <is>
          <t>S</t>
        </is>
      </c>
      <c r="F47" s="5" t="n">
        <v>1</v>
      </c>
      <c r="G47" s="7" t="inlineStr">
        <is>
          <t>P0</t>
        </is>
      </c>
      <c r="H47" s="6" t="inlineStr">
        <is>
          <t>사용자·당사자·매핑</t>
        </is>
      </c>
      <c r="I47" s="33" t="inlineStr">
        <is>
          <t>사용자 프로필 수정(이름·연락처·프로필 사진). 참고: wireframes/web/24-guardian-profile-edit.svg</t>
        </is>
      </c>
    </row>
    <row r="48">
      <c r="A48" s="12" t="n">
        <v>3</v>
      </c>
      <c r="B48" s="5" t="inlineStr">
        <is>
          <t>3.1.3</t>
        </is>
      </c>
      <c r="C48" s="6" t="inlineStr">
        <is>
          <t>사용자 비활성화(soft delete)</t>
        </is>
      </c>
      <c r="D48" s="6" t="inlineStr">
        <is>
          <t>PATCH /users/:id/deactivate</t>
        </is>
      </c>
      <c r="E48" s="5" t="inlineStr">
        <is>
          <t>XS</t>
        </is>
      </c>
      <c r="F48" s="5" t="n">
        <v>0.5</v>
      </c>
      <c r="G48" s="7" t="inlineStr">
        <is>
          <t>P0</t>
        </is>
      </c>
      <c r="H48" s="6" t="inlineStr">
        <is>
          <t>사용자·당사자·매핑</t>
        </is>
      </c>
      <c r="I48" s="33" t="inlineStr">
        <is>
          <t>사용자 soft delete(status=inactive) — 데이터 보존, 로그인 차단. 참고: docs/02 §4 Enum(user status)</t>
        </is>
      </c>
    </row>
    <row r="49">
      <c r="A49" s="12" t="n">
        <v>3</v>
      </c>
      <c r="B49" s="5" t="inlineStr">
        <is>
          <t>3.1.4</t>
        </is>
      </c>
      <c r="C49" s="6" t="inlineStr">
        <is>
          <t>사용자 검색(이메일·전화)</t>
        </is>
      </c>
      <c r="D49" s="6" t="inlineStr">
        <is>
          <t>GET /users?q=</t>
        </is>
      </c>
      <c r="E49" s="5" t="inlineStr">
        <is>
          <t>S</t>
        </is>
      </c>
      <c r="F49" s="5" t="n">
        <v>1</v>
      </c>
      <c r="G49" s="7" t="inlineStr">
        <is>
          <t>P0</t>
        </is>
      </c>
      <c r="H49" s="6" t="inlineStr">
        <is>
          <t>사용자·당사자·매핑</t>
        </is>
      </c>
      <c r="I49" s="33" t="inlineStr">
        <is>
          <t>이메일·전화번호로 사용자 검색(초대·권한 부여 시). 참고: docs/05 §2 권한 부여 Step1</t>
        </is>
      </c>
    </row>
    <row r="50">
      <c r="A50" s="12" t="n">
        <v>3</v>
      </c>
      <c r="B50" s="5" t="inlineStr">
        <is>
          <t>3.1.5</t>
        </is>
      </c>
      <c r="C50" s="6" t="inlineStr">
        <is>
          <t>역할 기반 사용자 필터</t>
        </is>
      </c>
      <c r="D50" s="6" t="inlineStr">
        <is>
          <t>GET /users?role=</t>
        </is>
      </c>
      <c r="E50" s="5" t="inlineStr">
        <is>
          <t>XS</t>
        </is>
      </c>
      <c r="F50" s="5" t="n">
        <v>0.5</v>
      </c>
      <c r="G50" s="8" t="inlineStr">
        <is>
          <t>P1</t>
        </is>
      </c>
      <c r="H50" s="6" t="inlineStr">
        <is>
          <t>사용자·당사자·매핑</t>
        </is>
      </c>
      <c r="I50" s="33" t="inlineStr">
        <is>
          <t>역할 기반 사용자 필터(전문가 유형별 등, P1).</t>
        </is>
      </c>
    </row>
    <row r="51">
      <c r="A51" s="12" t="n">
        <v>3</v>
      </c>
      <c r="B51" s="5" t="inlineStr">
        <is>
          <t>3.2.1</t>
        </is>
      </c>
      <c r="C51" s="6" t="inlineStr">
        <is>
          <t>당사자 신규 등록 API</t>
        </is>
      </c>
      <c r="D51" s="6" t="inlineStr">
        <is>
          <t>POST /persons</t>
        </is>
      </c>
      <c r="E51" s="5" t="inlineStr">
        <is>
          <t>M</t>
        </is>
      </c>
      <c r="F51" s="5" t="n">
        <v>2.5</v>
      </c>
      <c r="G51" s="7" t="inlineStr">
        <is>
          <t>P0</t>
        </is>
      </c>
      <c r="H51" s="6" t="inlineStr">
        <is>
          <t>사용자·당사자·매핑</t>
        </is>
      </c>
      <c r="I51" s="33" t="inlineStr">
        <is>
          <t>당사자 신규 등록 — 기본정보·생애주기·응급정보 입력 + guardian_persons 자동 연결. 참고: docs/02 §2(persons), docs/04 §1 보호자, wireframes/web/17-guardian-person-register.svg</t>
        </is>
      </c>
    </row>
    <row r="52">
      <c r="A52" s="12" t="n">
        <v>3</v>
      </c>
      <c r="B52" s="5" t="inlineStr">
        <is>
          <t>3.2.2</t>
        </is>
      </c>
      <c r="C52" s="6" t="inlineStr">
        <is>
          <t>당사자 단건 조회</t>
        </is>
      </c>
      <c r="D52" s="6" t="inlineStr">
        <is>
          <t>GET /persons/:id</t>
        </is>
      </c>
      <c r="E52" s="5" t="inlineStr">
        <is>
          <t>S</t>
        </is>
      </c>
      <c r="F52" s="5" t="n">
        <v>1</v>
      </c>
      <c r="G52" s="7" t="inlineStr">
        <is>
          <t>P0</t>
        </is>
      </c>
      <c r="H52" s="6" t="inlineStr">
        <is>
          <t>사용자·당사자·매핑</t>
        </is>
      </c>
      <c r="I52" s="33" t="inlineStr">
        <is>
          <t>당사자 상세 조회(프로필·요약). 참고: wireframes/web/16-guardian-person-profile.svg</t>
        </is>
      </c>
    </row>
    <row r="53">
      <c r="A53" s="12" t="n">
        <v>3</v>
      </c>
      <c r="B53" s="5" t="inlineStr">
        <is>
          <t>3.2.3</t>
        </is>
      </c>
      <c r="C53" s="6" t="inlineStr">
        <is>
          <t>당사자 목록 조회(보호자 기준)</t>
        </is>
      </c>
      <c r="D53" s="6" t="inlineStr">
        <is>
          <t>GET /persons?guardian=</t>
        </is>
      </c>
      <c r="E53" s="5" t="inlineStr">
        <is>
          <t>S</t>
        </is>
      </c>
      <c r="F53" s="5" t="n">
        <v>1</v>
      </c>
      <c r="G53" s="7" t="inlineStr">
        <is>
          <t>P0</t>
        </is>
      </c>
      <c r="H53" s="6" t="inlineStr">
        <is>
          <t>사용자·당사자·매핑</t>
        </is>
      </c>
      <c r="I53" s="33" t="inlineStr">
        <is>
          <t>보호자 기준 담당 당사자 목록(대시보드 진입점). 참고: docs/04 §1 보호자, wireframes/web/02-guardian-dashboard.svg</t>
        </is>
      </c>
    </row>
    <row r="54">
      <c r="A54" s="12" t="n">
        <v>3</v>
      </c>
      <c r="B54" s="5" t="inlineStr">
        <is>
          <t>3.2.4</t>
        </is>
      </c>
      <c r="C54" s="6" t="inlineStr">
        <is>
          <t>당사자 기본정보 수정</t>
        </is>
      </c>
      <c r="D54" s="6" t="inlineStr">
        <is>
          <t>PATCH /persons/:id</t>
        </is>
      </c>
      <c r="E54" s="5" t="inlineStr">
        <is>
          <t>S</t>
        </is>
      </c>
      <c r="F54" s="5" t="n">
        <v>1</v>
      </c>
      <c r="G54" s="7" t="inlineStr">
        <is>
          <t>P0</t>
        </is>
      </c>
      <c r="H54" s="6" t="inlineStr">
        <is>
          <t>사용자·당사자·매핑</t>
        </is>
      </c>
      <c r="I54" s="33" t="inlineStr">
        <is>
          <t>당사자 기본정보 수정. 참고: wireframes/web/25-guardian-person-edit.svg</t>
        </is>
      </c>
    </row>
    <row r="55">
      <c r="A55" s="12" t="n">
        <v>3</v>
      </c>
      <c r="B55" s="5" t="inlineStr">
        <is>
          <t>3.2.5</t>
        </is>
      </c>
      <c r="C55" s="6" t="inlineStr">
        <is>
          <t>당사자 응급정보 수정(별도 권한)</t>
        </is>
      </c>
      <c r="D55" s="6" t="inlineStr">
        <is>
          <t>PATCH /persons/:id/emergency</t>
        </is>
      </c>
      <c r="E55" s="5" t="inlineStr">
        <is>
          <t>M</t>
        </is>
      </c>
      <c r="F55" s="5" t="n">
        <v>2.5</v>
      </c>
      <c r="G55" s="7" t="inlineStr">
        <is>
          <t>P0</t>
        </is>
      </c>
      <c r="H55" s="6" t="inlineStr">
        <is>
          <t>사용자·당사자·매핑</t>
        </is>
      </c>
      <c r="I55" s="33" t="inlineStr">
        <is>
          <t>당사자 응급정보(혈액형·알레르기·복약·비상연락) 수정 — 추가 인증 필요. 참고: docs/02 §3 JSONB(emergency), docs/08-wbs.md §17.2.5, wireframes/web/26-guardian-emergency-edit.svg</t>
        </is>
      </c>
    </row>
    <row r="56">
      <c r="A56" s="12" t="n">
        <v>3</v>
      </c>
      <c r="B56" s="5" t="inlineStr">
        <is>
          <t>3.2.6</t>
        </is>
      </c>
      <c r="C56" s="6" t="inlineStr">
        <is>
          <t>당사자 사진 업로드</t>
        </is>
      </c>
      <c r="D56" s="6" t="inlineStr">
        <is>
          <t>POST /persons/:id/photo</t>
        </is>
      </c>
      <c r="E56" s="5" t="inlineStr">
        <is>
          <t>S</t>
        </is>
      </c>
      <c r="F56" s="5" t="n">
        <v>1</v>
      </c>
      <c r="G56" s="7" t="inlineStr">
        <is>
          <t>P0</t>
        </is>
      </c>
      <c r="H56" s="6" t="inlineStr">
        <is>
          <t>사용자·당사자·매핑</t>
        </is>
      </c>
      <c r="I56" s="33" t="inlineStr">
        <is>
          <t>당사자 프로필 사진 업로드(presigned URL). 참고: docs/05 §5 파일 첨부</t>
        </is>
      </c>
    </row>
    <row r="57">
      <c r="A57" s="12" t="n">
        <v>3</v>
      </c>
      <c r="B57" s="5" t="inlineStr">
        <is>
          <t>3.2.7</t>
        </is>
      </c>
      <c r="C57" s="6" t="inlineStr">
        <is>
          <t>당사자 사진 삭제</t>
        </is>
      </c>
      <c r="D57" s="6" t="inlineStr">
        <is>
          <t>DELETE /persons/:id/photo</t>
        </is>
      </c>
      <c r="E57" s="5" t="inlineStr">
        <is>
          <t>XS</t>
        </is>
      </c>
      <c r="F57" s="5" t="n">
        <v>0.5</v>
      </c>
      <c r="G57" s="7" t="inlineStr">
        <is>
          <t>P0</t>
        </is>
      </c>
      <c r="H57" s="6" t="inlineStr">
        <is>
          <t>사용자·당사자·매핑</t>
        </is>
      </c>
      <c r="I57" s="33" t="inlineStr">
        <is>
          <t>당사자 프로필 사진 삭제(storage+meta).</t>
        </is>
      </c>
    </row>
    <row r="58">
      <c r="A58" s="12" t="n">
        <v>3</v>
      </c>
      <c r="B58" s="5" t="inlineStr">
        <is>
          <t>3.2.8</t>
        </is>
      </c>
      <c r="C58" s="6" t="inlineStr">
        <is>
          <t>당사자 비활성화(이장)</t>
        </is>
      </c>
      <c r="D58" s="6" t="inlineStr">
        <is>
          <t>PATCH /persons/:id/archive</t>
        </is>
      </c>
      <c r="E58" s="5" t="inlineStr">
        <is>
          <t>S</t>
        </is>
      </c>
      <c r="F58" s="5" t="n">
        <v>1</v>
      </c>
      <c r="G58" s="8" t="inlineStr">
        <is>
          <t>P1</t>
        </is>
      </c>
      <c r="H58" s="6" t="inlineStr">
        <is>
          <t>사용자·당사자·매핑</t>
        </is>
      </c>
      <c r="I58" s="33" t="inlineStr">
        <is>
          <t>당사자 비활성화/이장(archive) — 사망·이전 등(P1). 참고: docs/05 §10 당사자 전환기 처리</t>
        </is>
      </c>
    </row>
    <row r="59">
      <c r="A59" s="12" t="n">
        <v>3</v>
      </c>
      <c r="B59" s="5" t="inlineStr">
        <is>
          <t>3.2.9</t>
        </is>
      </c>
      <c r="C59" s="6" t="inlineStr">
        <is>
          <t>당사자 생애주기 자동 계산(트리거)</t>
        </is>
      </c>
      <c r="D59" s="6" t="inlineStr">
        <is>
          <t>DB trigger</t>
        </is>
      </c>
      <c r="E59" s="5" t="inlineStr">
        <is>
          <t>S</t>
        </is>
      </c>
      <c r="F59" s="5" t="n">
        <v>1</v>
      </c>
      <c r="G59" s="7" t="inlineStr">
        <is>
          <t>P0</t>
        </is>
      </c>
      <c r="H59" s="6" t="inlineStr">
        <is>
          <t>사용자·당사자·매핑</t>
        </is>
      </c>
      <c r="I59" s="33" t="inlineStr">
        <is>
          <t>birth_date 기반 life_stage 자동 계산 DB 트리거(영유아~노년 6단계). 참고: docs/01-record-matrix.md, docs/02 §4 Enum(life_stage)</t>
        </is>
      </c>
    </row>
    <row r="60">
      <c r="A60" s="12" t="n">
        <v>3</v>
      </c>
      <c r="B60" s="5" t="inlineStr">
        <is>
          <t>3.3.1</t>
        </is>
      </c>
      <c r="C60" s="6" t="inlineStr">
        <is>
          <t>보호자-당사자 연결 생성</t>
        </is>
      </c>
      <c r="D60" s="6" t="inlineStr">
        <is>
          <t>POST /guardian-persons</t>
        </is>
      </c>
      <c r="E60" s="5" t="inlineStr">
        <is>
          <t>S</t>
        </is>
      </c>
      <c r="F60" s="5" t="n">
        <v>1</v>
      </c>
      <c r="G60" s="7" t="inlineStr">
        <is>
          <t>P0</t>
        </is>
      </c>
      <c r="H60" s="6" t="inlineStr">
        <is>
          <t>사용자·당사자·매핑</t>
        </is>
      </c>
      <c r="I60" s="33" t="inlineStr">
        <is>
          <t>보호자-당사자 연결 생성(관계·주보호자 여부). 참고: docs/02 §2(guardian_persons)</t>
        </is>
      </c>
    </row>
    <row r="61">
      <c r="A61" s="12" t="n">
        <v>3</v>
      </c>
      <c r="B61" s="5" t="inlineStr">
        <is>
          <t>3.3.2</t>
        </is>
      </c>
      <c r="C61" s="6" t="inlineStr">
        <is>
          <t>보호자-당사자 단건 조회</t>
        </is>
      </c>
      <c r="D61" s="6" t="inlineStr">
        <is>
          <t>GET /guardian-persons/:id</t>
        </is>
      </c>
      <c r="E61" s="5" t="inlineStr">
        <is>
          <t>XS</t>
        </is>
      </c>
      <c r="F61" s="5" t="n">
        <v>0.5</v>
      </c>
      <c r="G61" s="7" t="inlineStr">
        <is>
          <t>P0</t>
        </is>
      </c>
      <c r="H61" s="6" t="inlineStr">
        <is>
          <t>사용자·당사자·매핑</t>
        </is>
      </c>
      <c r="I61" s="33" t="inlineStr">
        <is>
          <t>보호자-당사자 매핑 단건 조회.</t>
        </is>
      </c>
    </row>
    <row r="62">
      <c r="A62" s="12" t="n">
        <v>3</v>
      </c>
      <c r="B62" s="5" t="inlineStr">
        <is>
          <t>3.3.3</t>
        </is>
      </c>
      <c r="C62" s="6" t="inlineStr">
        <is>
          <t>당사자별 보호자 목록</t>
        </is>
      </c>
      <c r="D62" s="6" t="inlineStr">
        <is>
          <t>GET /persons/:id/guardians</t>
        </is>
      </c>
      <c r="E62" s="5" t="inlineStr">
        <is>
          <t>S</t>
        </is>
      </c>
      <c r="F62" s="5" t="n">
        <v>1</v>
      </c>
      <c r="G62" s="7" t="inlineStr">
        <is>
          <t>P0</t>
        </is>
      </c>
      <c r="H62" s="6" t="inlineStr">
        <is>
          <t>사용자·당사자·매핑</t>
        </is>
      </c>
      <c r="I62" s="33" t="inlineStr">
        <is>
          <t>당사자별 보호자 목록(공동 양육 지원). 참고: docs/03 §도메인별 서브 ERD</t>
        </is>
      </c>
    </row>
    <row r="63">
      <c r="A63" s="12" t="n">
        <v>3</v>
      </c>
      <c r="B63" s="5" t="inlineStr">
        <is>
          <t>3.3.4</t>
        </is>
      </c>
      <c r="C63" s="6" t="inlineStr">
        <is>
          <t>주보호자 변경</t>
        </is>
      </c>
      <c r="D63" s="6" t="inlineStr">
        <is>
          <t>PATCH /guardian-persons/:id/primary</t>
        </is>
      </c>
      <c r="E63" s="5" t="inlineStr">
        <is>
          <t>S</t>
        </is>
      </c>
      <c r="F63" s="5" t="n">
        <v>1</v>
      </c>
      <c r="G63" s="7" t="inlineStr">
        <is>
          <t>P0</t>
        </is>
      </c>
      <c r="H63" s="6" t="inlineStr">
        <is>
          <t>사용자·당사자·매핑</t>
        </is>
      </c>
      <c r="I63" s="33" t="inlineStr">
        <is>
          <t>주보호자(is_primary) 변경 — 단일 주보호자 제약. 참고: docs/02 §6 제약조건</t>
        </is>
      </c>
    </row>
    <row r="64">
      <c r="A64" s="12" t="n">
        <v>3</v>
      </c>
      <c r="B64" s="5" t="inlineStr">
        <is>
          <t>3.3.5</t>
        </is>
      </c>
      <c r="C64" s="6" t="inlineStr">
        <is>
          <t>관계(부/모/후견인) 수정</t>
        </is>
      </c>
      <c r="D64" s="6" t="inlineStr">
        <is>
          <t>PATCH /guardian-persons/:id</t>
        </is>
      </c>
      <c r="E64" s="5" t="inlineStr">
        <is>
          <t>XS</t>
        </is>
      </c>
      <c r="F64" s="5" t="n">
        <v>0.5</v>
      </c>
      <c r="G64" s="7" t="inlineStr">
        <is>
          <t>P0</t>
        </is>
      </c>
      <c r="H64" s="6" t="inlineStr">
        <is>
          <t>사용자·당사자·매핑</t>
        </is>
      </c>
      <c r="I64" s="33" t="inlineStr">
        <is>
          <t>관계(부/모/후견인 등) 수정. 참고: docs/02 §4 Enum(relationship)</t>
        </is>
      </c>
    </row>
    <row r="65">
      <c r="A65" s="12" t="n">
        <v>3</v>
      </c>
      <c r="B65" s="5" t="inlineStr">
        <is>
          <t>3.3.6</t>
        </is>
      </c>
      <c r="C65" s="6" t="inlineStr">
        <is>
          <t>보호자 연결 해제</t>
        </is>
      </c>
      <c r="D65" s="6" t="inlineStr">
        <is>
          <t>DELETE /guardian-persons/:id</t>
        </is>
      </c>
      <c r="E65" s="5" t="inlineStr">
        <is>
          <t>S</t>
        </is>
      </c>
      <c r="F65" s="5" t="n">
        <v>1</v>
      </c>
      <c r="G65" s="8" t="inlineStr">
        <is>
          <t>P1</t>
        </is>
      </c>
      <c r="H65" s="6" t="inlineStr">
        <is>
          <t>사용자·당사자·매핑</t>
        </is>
      </c>
      <c r="I65" s="33" t="inlineStr">
        <is>
          <t>보호자 연결 해제(P1).</t>
        </is>
      </c>
    </row>
    <row r="66">
      <c r="A66" s="12" t="n">
        <v>3</v>
      </c>
      <c r="B66" s="5" t="inlineStr">
        <is>
          <t>3.4.1</t>
        </is>
      </c>
      <c r="C66" s="6" t="inlineStr">
        <is>
          <t>당사자 계정 생성(선택적)</t>
        </is>
      </c>
      <c r="D66" s="6" t="inlineStr">
        <is>
          <t>POST /person-accounts</t>
        </is>
      </c>
      <c r="E66" s="5" t="inlineStr">
        <is>
          <t>S</t>
        </is>
      </c>
      <c r="F66" s="5" t="n">
        <v>1</v>
      </c>
      <c r="G66" s="7" t="inlineStr">
        <is>
          <t>P0</t>
        </is>
      </c>
      <c r="H66" s="6" t="inlineStr">
        <is>
          <t>사용자·당사자·매핑</t>
        </is>
      </c>
      <c r="I66" s="33" t="inlineStr">
        <is>
          <t>당사자 선택적 로그인 계정 생성(자기표현·내 기록용). 참고: docs/02 §2(person_accounts), docs/04 §2 당사자</t>
        </is>
      </c>
    </row>
    <row r="67">
      <c r="A67" s="12" t="n">
        <v>3</v>
      </c>
      <c r="B67" s="5" t="inlineStr">
        <is>
          <t>3.4.2</t>
        </is>
      </c>
      <c r="C67" s="6" t="inlineStr">
        <is>
          <t>접근성 설정 조회</t>
        </is>
      </c>
      <c r="D67" s="6" t="inlineStr">
        <is>
          <t>GET /person-accounts/:id</t>
        </is>
      </c>
      <c r="E67" s="5" t="inlineStr">
        <is>
          <t>XS</t>
        </is>
      </c>
      <c r="F67" s="5" t="n">
        <v>0.5</v>
      </c>
      <c r="G67" s="7" t="inlineStr">
        <is>
          <t>P0</t>
        </is>
      </c>
      <c r="H67" s="6" t="inlineStr">
        <is>
          <t>사용자·당사자·매핑</t>
        </is>
      </c>
      <c r="I67" s="33" t="inlineStr">
        <is>
          <t>당사자 접근성 설정 조회. 참고: wireframes/web/33-person-profile.svg</t>
        </is>
      </c>
    </row>
    <row r="68">
      <c r="A68" s="12" t="n">
        <v>3</v>
      </c>
      <c r="B68" s="5" t="inlineStr">
        <is>
          <t>3.4.3</t>
        </is>
      </c>
      <c r="C68" s="6" t="inlineStr">
        <is>
          <t>접근성 설정 수정</t>
        </is>
      </c>
      <c r="D68" s="6" t="inlineStr">
        <is>
          <t>PATCH /person-accounts/:id</t>
        </is>
      </c>
      <c r="E68" s="5" t="inlineStr">
        <is>
          <t>S</t>
        </is>
      </c>
      <c r="F68" s="5" t="n">
        <v>1</v>
      </c>
      <c r="G68" s="7" t="inlineStr">
        <is>
          <t>P0</t>
        </is>
      </c>
      <c r="H68" s="6" t="inlineStr">
        <is>
          <t>사용자·당사자·매핑</t>
        </is>
      </c>
      <c r="I68" s="33" t="inlineStr">
        <is>
          <t>접근성 설정 수정(글씨 크기·고대비·TTS). 참고: docs/07 §9 당사자 접근성 모드, wireframes/web/32-person-accessibility.svg</t>
        </is>
      </c>
    </row>
    <row r="69">
      <c r="A69" s="12" t="n">
        <v>3</v>
      </c>
      <c r="B69" s="5" t="inlineStr">
        <is>
          <t>3.4.4</t>
        </is>
      </c>
      <c r="C69" s="6" t="inlineStr">
        <is>
          <t>UI 모드(아이콘/혼합) 변경</t>
        </is>
      </c>
      <c r="D69" s="6" t="inlineStr">
        <is>
          <t>PATCH /person-accounts/:id/ui-mode</t>
        </is>
      </c>
      <c r="E69" s="5" t="inlineStr">
        <is>
          <t>XS</t>
        </is>
      </c>
      <c r="F69" s="5" t="n">
        <v>0.5</v>
      </c>
      <c r="G69" s="7" t="inlineStr">
        <is>
          <t>P0</t>
        </is>
      </c>
      <c r="H69" s="6" t="inlineStr">
        <is>
          <t>사용자·당사자·매핑</t>
        </is>
      </c>
      <c r="I69" s="33" t="inlineStr">
        <is>
          <t>UI 모드(아이콘 전용/혼합) 전환. 참고: docs/07 §9, docs/06 §1 스크린 유형</t>
        </is>
      </c>
    </row>
    <row r="70">
      <c r="A70" s="13" t="n">
        <v>4</v>
      </c>
      <c r="B70" s="5" t="inlineStr">
        <is>
          <t>4.1.1</t>
        </is>
      </c>
      <c r="C70" s="6" t="inlineStr">
        <is>
          <t>권한 부여 API(도메인·수준·기간)</t>
        </is>
      </c>
      <c r="D70" s="6" t="inlineStr">
        <is>
          <t>POST /permissions</t>
        </is>
      </c>
      <c r="E70" s="5" t="inlineStr">
        <is>
          <t>M</t>
        </is>
      </c>
      <c r="F70" s="5" t="n">
        <v>2.5</v>
      </c>
      <c r="G70" s="7" t="inlineStr">
        <is>
          <t>P0</t>
        </is>
      </c>
      <c r="H70" s="6" t="inlineStr">
        <is>
          <t>권한 관리</t>
        </is>
      </c>
      <c r="I70" s="33" t="inlineStr">
        <is>
          <t>권한 부여 — 권한자·도메인(멀티)·수준(read/write/manage)·기간 UPSERT. 참고: docs/02 §2(permissions)·§4 Enum, docs/05 §2 권한 부여</t>
        </is>
      </c>
    </row>
    <row r="71">
      <c r="A71" s="13" t="n">
        <v>4</v>
      </c>
      <c r="B71" s="5" t="inlineStr">
        <is>
          <t>4.1.2</t>
        </is>
      </c>
      <c r="C71" s="6" t="inlineStr">
        <is>
          <t>권한 단건 조회</t>
        </is>
      </c>
      <c r="D71" s="6" t="inlineStr">
        <is>
          <t>GET /permissions/:id</t>
        </is>
      </c>
      <c r="E71" s="5" t="inlineStr">
        <is>
          <t>XS</t>
        </is>
      </c>
      <c r="F71" s="5" t="n">
        <v>0.5</v>
      </c>
      <c r="G71" s="7" t="inlineStr">
        <is>
          <t>P0</t>
        </is>
      </c>
      <c r="H71" s="6" t="inlineStr">
        <is>
          <t>권한 관리</t>
        </is>
      </c>
      <c r="I71" s="33" t="inlineStr">
        <is>
          <t>권한 단건 조회.</t>
        </is>
      </c>
    </row>
    <row r="72">
      <c r="A72" s="13" t="n">
        <v>4</v>
      </c>
      <c r="B72" s="5" t="inlineStr">
        <is>
          <t>4.1.3</t>
        </is>
      </c>
      <c r="C72" s="6" t="inlineStr">
        <is>
          <t>당사자별 권한 매트릭스 조회</t>
        </is>
      </c>
      <c r="D72" s="6" t="inlineStr">
        <is>
          <t>GET /persons/:id/permissions</t>
        </is>
      </c>
      <c r="E72" s="5" t="inlineStr">
        <is>
          <t>M</t>
        </is>
      </c>
      <c r="F72" s="5" t="n">
        <v>2.5</v>
      </c>
      <c r="G72" s="7" t="inlineStr">
        <is>
          <t>P0</t>
        </is>
      </c>
      <c r="H72" s="6" t="inlineStr">
        <is>
          <t>권한 관리</t>
        </is>
      </c>
      <c r="I72" s="33" t="inlineStr">
        <is>
          <t>당사자별 권한 매트릭스(이해관계자×도메인 그리드). 참고: docs/05 §2, wireframes/web/07-permission-matrix.svg</t>
        </is>
      </c>
    </row>
    <row r="73">
      <c r="A73" s="13" t="n">
        <v>4</v>
      </c>
      <c r="B73" s="5" t="inlineStr">
        <is>
          <t>4.1.4</t>
        </is>
      </c>
      <c r="C73" s="6" t="inlineStr">
        <is>
          <t>사용자별 받은 권한 목록</t>
        </is>
      </c>
      <c r="D73" s="6" t="inlineStr">
        <is>
          <t>GET /users/:id/permissions</t>
        </is>
      </c>
      <c r="E73" s="5" t="inlineStr">
        <is>
          <t>S</t>
        </is>
      </c>
      <c r="F73" s="5" t="n">
        <v>1</v>
      </c>
      <c r="G73" s="7" t="inlineStr">
        <is>
          <t>P0</t>
        </is>
      </c>
      <c r="H73" s="6" t="inlineStr">
        <is>
          <t>권한 관리</t>
        </is>
      </c>
      <c r="I73" s="33" t="inlineStr">
        <is>
          <t>사용자(전문가)별 받은 권한 목록. 참고: wireframes/web/20-guardian-stakeholder-detail.svg</t>
        </is>
      </c>
    </row>
    <row r="74">
      <c r="A74" s="13" t="n">
        <v>4</v>
      </c>
      <c r="B74" s="5" t="inlineStr">
        <is>
          <t>4.1.5</t>
        </is>
      </c>
      <c r="C74" s="6" t="inlineStr">
        <is>
          <t>권한 수정(수준/기간 변경)</t>
        </is>
      </c>
      <c r="D74" s="6" t="inlineStr">
        <is>
          <t>PATCH /permissions/:id</t>
        </is>
      </c>
      <c r="E74" s="5" t="inlineStr">
        <is>
          <t>S</t>
        </is>
      </c>
      <c r="F74" s="5" t="n">
        <v>1</v>
      </c>
      <c r="G74" s="7" t="inlineStr">
        <is>
          <t>P0</t>
        </is>
      </c>
      <c r="H74" s="6" t="inlineStr">
        <is>
          <t>권한 관리</t>
        </is>
      </c>
      <c r="I74" s="33" t="inlineStr">
        <is>
          <t>권한 수정(수준·기간 변경) + permission_logs 기록. 참고: wireframes/web/28-guardian-permission-modals.svg</t>
        </is>
      </c>
    </row>
    <row r="75">
      <c r="A75" s="13" t="n">
        <v>4</v>
      </c>
      <c r="B75" s="5" t="inlineStr">
        <is>
          <t>4.1.6</t>
        </is>
      </c>
      <c r="C75" s="6" t="inlineStr">
        <is>
          <t>권한 회수(즉시)</t>
        </is>
      </c>
      <c r="D75" s="6" t="inlineStr">
        <is>
          <t>DELETE /permissions/:id</t>
        </is>
      </c>
      <c r="E75" s="5" t="inlineStr">
        <is>
          <t>S</t>
        </is>
      </c>
      <c r="F75" s="5" t="n">
        <v>1</v>
      </c>
      <c r="G75" s="7" t="inlineStr">
        <is>
          <t>P0</t>
        </is>
      </c>
      <c r="H75" s="6" t="inlineStr">
        <is>
          <t>권한 관리</t>
        </is>
      </c>
      <c r="I75" s="33" t="inlineStr">
        <is>
          <t>권한 즉시 회수 + 캐시 무효화 + 알림. 참고: docs/05 §3 권한 회수 프로세스, wireframes/web/28-guardian-permission-modals.svg</t>
        </is>
      </c>
    </row>
    <row r="76">
      <c r="A76" s="13" t="n">
        <v>4</v>
      </c>
      <c r="B76" s="5" t="inlineStr">
        <is>
          <t>4.1.7</t>
        </is>
      </c>
      <c r="C76" s="6" t="inlineStr">
        <is>
          <t>기간 만료 자동 회수(cron)</t>
        </is>
      </c>
      <c r="D76" s="6" t="inlineStr">
        <is>
          <t>scheduled fn</t>
        </is>
      </c>
      <c r="E76" s="5" t="inlineStr">
        <is>
          <t>M</t>
        </is>
      </c>
      <c r="F76" s="5" t="n">
        <v>2.5</v>
      </c>
      <c r="G76" s="7" t="inlineStr">
        <is>
          <t>P0</t>
        </is>
      </c>
      <c r="H76" s="6" t="inlineStr">
        <is>
          <t>권한 관리</t>
        </is>
      </c>
      <c r="I76" s="33" t="inlineStr">
        <is>
          <t>valid_until 만료 권한 자동 회수 cron(scheduled fn). 참고: docs/05 §3 권한 회수</t>
        </is>
      </c>
    </row>
    <row r="77">
      <c r="A77" s="13" t="n">
        <v>4</v>
      </c>
      <c r="B77" s="5" t="inlineStr">
        <is>
          <t>4.1.8</t>
        </is>
      </c>
      <c r="C77" s="6" t="inlineStr">
        <is>
          <t>만료 7일 전 알림(cron)</t>
        </is>
      </c>
      <c r="D77" s="6" t="inlineStr">
        <is>
          <t>scheduled fn</t>
        </is>
      </c>
      <c r="E77" s="5" t="inlineStr">
        <is>
          <t>S</t>
        </is>
      </c>
      <c r="F77" s="5" t="n">
        <v>1</v>
      </c>
      <c r="G77" s="8" t="inlineStr">
        <is>
          <t>P1</t>
        </is>
      </c>
      <c r="H77" s="6" t="inlineStr">
        <is>
          <t>권한 관리</t>
        </is>
      </c>
      <c r="I77" s="33" t="inlineStr">
        <is>
          <t>권한 만료 7일 전 사전 알림 cron(P1). 참고: docs/05 §8 알림</t>
        </is>
      </c>
    </row>
    <row r="78">
      <c r="A78" s="13" t="n">
        <v>4</v>
      </c>
      <c r="B78" s="5" t="inlineStr">
        <is>
          <t>4.2.1</t>
        </is>
      </c>
      <c r="C78" s="6" t="inlineStr">
        <is>
          <t>위자드 Step1 — 대상자 검색·초대</t>
        </is>
      </c>
      <c r="D78" s="6" t="inlineStr">
        <is>
          <t>UI step</t>
        </is>
      </c>
      <c r="E78" s="5" t="inlineStr">
        <is>
          <t>S</t>
        </is>
      </c>
      <c r="F78" s="5" t="n">
        <v>1</v>
      </c>
      <c r="G78" s="7" t="inlineStr">
        <is>
          <t>P0</t>
        </is>
      </c>
      <c r="H78" s="6" t="inlineStr">
        <is>
          <t>권한 관리</t>
        </is>
      </c>
      <c r="I78" s="33" t="inlineStr">
        <is>
          <t>권한 위자드 Step1 — 대상자 검색 또는 이메일 초대. 참고: docs/06 §6 주요 플로우(권한 부여), wireframes/web/21-guardian-grant-wizard.svg</t>
        </is>
      </c>
    </row>
    <row r="79">
      <c r="A79" s="13" t="n">
        <v>4</v>
      </c>
      <c r="B79" s="5" t="inlineStr">
        <is>
          <t>4.2.2</t>
        </is>
      </c>
      <c r="C79" s="6" t="inlineStr">
        <is>
          <t>위자드 Step2 — 분야 선택(멀티)</t>
        </is>
      </c>
      <c r="D79" s="6" t="inlineStr">
        <is>
          <t>UI step</t>
        </is>
      </c>
      <c r="E79" s="5" t="inlineStr">
        <is>
          <t>S</t>
        </is>
      </c>
      <c r="F79" s="5" t="n">
        <v>1</v>
      </c>
      <c r="G79" s="7" t="inlineStr">
        <is>
          <t>P0</t>
        </is>
      </c>
      <c r="H79" s="6" t="inlineStr">
        <is>
          <t>권한 관리</t>
        </is>
      </c>
      <c r="I79" s="33" t="inlineStr">
        <is>
          <t>Step2 — 6개 도메인 멀티 선택. 참고: wireframes/web/21-guardian-grant-wizard.svg</t>
        </is>
      </c>
    </row>
    <row r="80">
      <c r="A80" s="13" t="n">
        <v>4</v>
      </c>
      <c r="B80" s="5" t="inlineStr">
        <is>
          <t>4.2.3</t>
        </is>
      </c>
      <c r="C80" s="6" t="inlineStr">
        <is>
          <t>위자드 Step3 — 수준·기간 설정</t>
        </is>
      </c>
      <c r="D80" s="6" t="inlineStr">
        <is>
          <t>UI step</t>
        </is>
      </c>
      <c r="E80" s="5" t="inlineStr">
        <is>
          <t>S</t>
        </is>
      </c>
      <c r="F80" s="5" t="n">
        <v>1</v>
      </c>
      <c r="G80" s="7" t="inlineStr">
        <is>
          <t>P0</t>
        </is>
      </c>
      <c r="H80" s="6" t="inlineStr">
        <is>
          <t>권한 관리</t>
        </is>
      </c>
      <c r="I80" s="33" t="inlineStr">
        <is>
          <t>Step3 — 도메인별 접근 수준·유효 기간 설정. 참고: wireframes/web/21-guardian-grant-wizard.svg</t>
        </is>
      </c>
    </row>
    <row r="81">
      <c r="A81" s="13" t="n">
        <v>4</v>
      </c>
      <c r="B81" s="5" t="inlineStr">
        <is>
          <t>4.2.4</t>
        </is>
      </c>
      <c r="C81" s="6" t="inlineStr">
        <is>
          <t>위자드 Step4 — 미리보기·UPSERT</t>
        </is>
      </c>
      <c r="D81" s="6" t="inlineStr">
        <is>
          <t>UI step</t>
        </is>
      </c>
      <c r="E81" s="5" t="inlineStr">
        <is>
          <t>M</t>
        </is>
      </c>
      <c r="F81" s="5" t="n">
        <v>2.5</v>
      </c>
      <c r="G81" s="7" t="inlineStr">
        <is>
          <t>P0</t>
        </is>
      </c>
      <c r="H81" s="6" t="inlineStr">
        <is>
          <t>권한 관리</t>
        </is>
      </c>
      <c r="I81" s="33" t="inlineStr">
        <is>
          <t>Step4 — 미리보기 후 permissions UPSERT + 알림 발송. 참고: docs/05 §2, wireframes/web/21-guardian-grant-wizard.svg</t>
        </is>
      </c>
    </row>
    <row r="82">
      <c r="A82" s="13" t="n">
        <v>4</v>
      </c>
      <c r="B82" s="5" t="inlineStr">
        <is>
          <t>4.3.1</t>
        </is>
      </c>
      <c r="C82" s="6" t="inlineStr">
        <is>
          <t>권한 변경 시 자동 로그(트리거)</t>
        </is>
      </c>
      <c r="D82" s="6" t="inlineStr">
        <is>
          <t>DB trigger</t>
        </is>
      </c>
      <c r="E82" s="5" t="inlineStr">
        <is>
          <t>S</t>
        </is>
      </c>
      <c r="F82" s="5" t="n">
        <v>1</v>
      </c>
      <c r="G82" s="7" t="inlineStr">
        <is>
          <t>P0</t>
        </is>
      </c>
      <c r="H82" s="6" t="inlineStr">
        <is>
          <t>권한 관리</t>
        </is>
      </c>
      <c r="I82" s="33" t="inlineStr">
        <is>
          <t>permissions 변경 시 permission_logs 자동 기록 트리거. 참고: docs/02 §2(permission_logs)</t>
        </is>
      </c>
    </row>
    <row r="83">
      <c r="A83" s="13" t="n">
        <v>4</v>
      </c>
      <c r="B83" s="5" t="inlineStr">
        <is>
          <t>4.3.2</t>
        </is>
      </c>
      <c r="C83" s="6" t="inlineStr">
        <is>
          <t>당사자별 권한 이력 조회</t>
        </is>
      </c>
      <c r="D83" s="6" t="inlineStr">
        <is>
          <t>GET /persons/:id/permission-logs</t>
        </is>
      </c>
      <c r="E83" s="5" t="inlineStr">
        <is>
          <t>S</t>
        </is>
      </c>
      <c r="F83" s="5" t="n">
        <v>1</v>
      </c>
      <c r="G83" s="7" t="inlineStr">
        <is>
          <t>P0</t>
        </is>
      </c>
      <c r="H83" s="6" t="inlineStr">
        <is>
          <t>권한 관리</t>
        </is>
      </c>
      <c r="I83" s="33" t="inlineStr">
        <is>
          <t>당사자별 권한 변경 이력 조회. 참고: docs/05 §9 접근 로그</t>
        </is>
      </c>
    </row>
    <row r="84">
      <c r="A84" s="13" t="n">
        <v>4</v>
      </c>
      <c r="B84" s="5" t="inlineStr">
        <is>
          <t>4.3.3</t>
        </is>
      </c>
      <c r="C84" s="6" t="inlineStr">
        <is>
          <t>사용자별 권한 변동 이력</t>
        </is>
      </c>
      <c r="D84" s="6" t="inlineStr">
        <is>
          <t>GET /users/:id/permission-logs</t>
        </is>
      </c>
      <c r="E84" s="5" t="inlineStr">
        <is>
          <t>S</t>
        </is>
      </c>
      <c r="F84" s="5" t="n">
        <v>1</v>
      </c>
      <c r="G84" s="7" t="inlineStr">
        <is>
          <t>P0</t>
        </is>
      </c>
      <c r="H84" s="6" t="inlineStr">
        <is>
          <t>권한 관리</t>
        </is>
      </c>
      <c r="I84" s="33" t="inlineStr">
        <is>
          <t>사용자별 권한 변동 이력 조회.</t>
        </is>
      </c>
    </row>
    <row r="85">
      <c r="A85" s="13" t="n">
        <v>4</v>
      </c>
      <c r="B85" s="5" t="inlineStr">
        <is>
          <t>4.4.1</t>
        </is>
      </c>
      <c r="C85" s="6" t="inlineStr">
        <is>
          <t>권한 외 접근 시도 감지(트리거)</t>
        </is>
      </c>
      <c r="D85" s="6" t="inlineStr">
        <is>
          <t>DB trigger</t>
        </is>
      </c>
      <c r="E85" s="5" t="inlineStr">
        <is>
          <t>M</t>
        </is>
      </c>
      <c r="F85" s="5" t="n">
        <v>2.5</v>
      </c>
      <c r="G85" s="7" t="inlineStr">
        <is>
          <t>P0</t>
        </is>
      </c>
      <c r="H85" s="6" t="inlineStr">
        <is>
          <t>권한 관리</t>
        </is>
      </c>
      <c r="I85" s="33" t="inlineStr">
        <is>
          <t>권한 외 리소스 접근 시도 감지 트리거(RLS 위반 로깅). 참고: docs/03 §RLS, docs/05 §11 시스템 보안 흐름</t>
        </is>
      </c>
    </row>
    <row r="86">
      <c r="A86" s="13" t="n">
        <v>4</v>
      </c>
      <c r="B86" s="5" t="inlineStr">
        <is>
          <t>4.4.2</t>
        </is>
      </c>
      <c r="C86" s="6" t="inlineStr">
        <is>
          <t>이상 접근 알림 발송</t>
        </is>
      </c>
      <c r="D86" s="6" t="inlineStr">
        <is>
          <t>notification fn</t>
        </is>
      </c>
      <c r="E86" s="5" t="inlineStr">
        <is>
          <t>S</t>
        </is>
      </c>
      <c r="F86" s="5" t="n">
        <v>1</v>
      </c>
      <c r="G86" s="7" t="inlineStr">
        <is>
          <t>P0</t>
        </is>
      </c>
      <c r="H86" s="6" t="inlineStr">
        <is>
          <t>권한 관리</t>
        </is>
      </c>
      <c r="I86" s="33" t="inlineStr">
        <is>
          <t>이상 접근 감지 시 보호자 알림 발송. 참고: docs/05 §8·§11</t>
        </is>
      </c>
    </row>
    <row r="87">
      <c r="A87" s="13" t="n">
        <v>4</v>
      </c>
      <c r="B87" s="5" t="inlineStr">
        <is>
          <t>4.4.3</t>
        </is>
      </c>
      <c r="C87" s="6" t="inlineStr">
        <is>
          <t>권한 캐시 무효화</t>
        </is>
      </c>
      <c r="D87" s="6" t="inlineStr">
        <is>
          <t>redis invalidator</t>
        </is>
      </c>
      <c r="E87" s="5" t="inlineStr">
        <is>
          <t>S</t>
        </is>
      </c>
      <c r="F87" s="5" t="n">
        <v>1</v>
      </c>
      <c r="G87" s="8" t="inlineStr">
        <is>
          <t>P1</t>
        </is>
      </c>
      <c r="H87" s="6" t="inlineStr">
        <is>
          <t>권한 관리</t>
        </is>
      </c>
      <c r="I87" s="33" t="inlineStr">
        <is>
          <t>권한 변경 시 Redis 권한 캐시 무효화(P1).</t>
        </is>
      </c>
    </row>
    <row r="88">
      <c r="A88" s="14" t="n">
        <v>5</v>
      </c>
      <c r="B88" s="5" t="inlineStr">
        <is>
          <t>5.0.1</t>
        </is>
      </c>
      <c r="C88" s="6" t="inlineStr">
        <is>
          <t>기록 생성 API(도메인 무관)</t>
        </is>
      </c>
      <c r="D88" s="6" t="inlineStr">
        <is>
          <t>POST /records</t>
        </is>
      </c>
      <c r="E88" s="5" t="inlineStr">
        <is>
          <t>M</t>
        </is>
      </c>
      <c r="F88" s="5" t="n">
        <v>2.5</v>
      </c>
      <c r="G88" s="7" t="inlineStr">
        <is>
          <t>P0</t>
        </is>
      </c>
      <c r="H88" s="6" t="inlineStr">
        <is>
          <t>기록 (Records)</t>
        </is>
      </c>
      <c r="I88" s="33" t="inlineStr">
        <is>
          <t>도메인 무관 기록 생성 API — content(JSONB)는 record_type별 스키마 검증. 참고: docs/02 §3 JSONB content 스키마, docs/05 §4 기록 작성 공통, wireframes/web/06-record-form.svg</t>
        </is>
      </c>
    </row>
    <row r="89">
      <c r="A89" s="14" t="n">
        <v>5</v>
      </c>
      <c r="B89" s="5" t="inlineStr">
        <is>
          <t>5.0.2</t>
        </is>
      </c>
      <c r="C89" s="6" t="inlineStr">
        <is>
          <t>기록 단건 조회</t>
        </is>
      </c>
      <c r="D89" s="6" t="inlineStr">
        <is>
          <t>GET /records/:id</t>
        </is>
      </c>
      <c r="E89" s="5" t="inlineStr">
        <is>
          <t>S</t>
        </is>
      </c>
      <c r="F89" s="5" t="n">
        <v>1</v>
      </c>
      <c r="G89" s="7" t="inlineStr">
        <is>
          <t>P0</t>
        </is>
      </c>
      <c r="H89" s="6" t="inlineStr">
        <is>
          <t>기록 (Records)</t>
        </is>
      </c>
      <c r="I89" s="33" t="inlineStr">
        <is>
          <t>기록 단건 조회(권한 검증). 참고: wireframes/web/05-record-detail.svg</t>
        </is>
      </c>
    </row>
    <row r="90">
      <c r="A90" s="14" t="n">
        <v>5</v>
      </c>
      <c r="B90" s="5" t="inlineStr">
        <is>
          <t>5.0.3</t>
        </is>
      </c>
      <c r="C90" s="6" t="inlineStr">
        <is>
          <t>당사자별 기록 목록(페이징·필터)</t>
        </is>
      </c>
      <c r="D90" s="6" t="inlineStr">
        <is>
          <t>GET /persons/:id/records</t>
        </is>
      </c>
      <c r="E90" s="5" t="inlineStr">
        <is>
          <t>M</t>
        </is>
      </c>
      <c r="F90" s="5" t="n">
        <v>2.5</v>
      </c>
      <c r="G90" s="7" t="inlineStr">
        <is>
          <t>P0</t>
        </is>
      </c>
      <c r="H90" s="6" t="inlineStr">
        <is>
          <t>기록 (Records)</t>
        </is>
      </c>
      <c r="I90" s="33" t="inlineStr">
        <is>
          <t>당사자별 전체 기록 목록(페이징·필터·정렬). 참고: docs/02 §5 인덱스 전략, wireframes/web/04-record-list.svg</t>
        </is>
      </c>
    </row>
    <row r="91">
      <c r="A91" s="14" t="n">
        <v>5</v>
      </c>
      <c r="B91" s="5" t="inlineStr">
        <is>
          <t>5.0.4</t>
        </is>
      </c>
      <c r="C91" s="6" t="inlineStr">
        <is>
          <t>분야별 기록 목록</t>
        </is>
      </c>
      <c r="D91" s="6" t="inlineStr">
        <is>
          <t>GET /persons/:id/records?domain=</t>
        </is>
      </c>
      <c r="E91" s="5" t="inlineStr">
        <is>
          <t>S</t>
        </is>
      </c>
      <c r="F91" s="5" t="n">
        <v>1</v>
      </c>
      <c r="G91" s="7" t="inlineStr">
        <is>
          <t>P0</t>
        </is>
      </c>
      <c r="H91" s="6" t="inlineStr">
        <is>
          <t>기록 (Records)</t>
        </is>
      </c>
      <c r="I91" s="33" t="inlineStr">
        <is>
          <t>도메인별 기록 목록. 참고: wireframes/web/18-guardian-records-domain.svg</t>
        </is>
      </c>
    </row>
    <row r="92">
      <c r="A92" s="14" t="n">
        <v>5</v>
      </c>
      <c r="B92" s="5" t="inlineStr">
        <is>
          <t>5.0.5</t>
        </is>
      </c>
      <c r="C92" s="6" t="inlineStr">
        <is>
          <t>기록 수정</t>
        </is>
      </c>
      <c r="D92" s="6" t="inlineStr">
        <is>
          <t>PATCH /records/:id</t>
        </is>
      </c>
      <c r="E92" s="5" t="inlineStr">
        <is>
          <t>S</t>
        </is>
      </c>
      <c r="F92" s="5" t="n">
        <v>1</v>
      </c>
      <c r="G92" s="7" t="inlineStr">
        <is>
          <t>P0</t>
        </is>
      </c>
      <c r="H92" s="6" t="inlineStr">
        <is>
          <t>기록 (Records)</t>
        </is>
      </c>
      <c r="I92" s="33" t="inlineStr">
        <is>
          <t>기록 수정(작성자/권한자). 참고: wireframes/web/19-guardian-record-edit.svg</t>
        </is>
      </c>
    </row>
    <row r="93">
      <c r="A93" s="14" t="n">
        <v>5</v>
      </c>
      <c r="B93" s="5" t="inlineStr">
        <is>
          <t>5.0.6</t>
        </is>
      </c>
      <c r="C93" s="6" t="inlineStr">
        <is>
          <t>기록 삭제(보호자 권한)</t>
        </is>
      </c>
      <c r="D93" s="6" t="inlineStr">
        <is>
          <t>DELETE /records/:id</t>
        </is>
      </c>
      <c r="E93" s="5" t="inlineStr">
        <is>
          <t>S</t>
        </is>
      </c>
      <c r="F93" s="5" t="n">
        <v>1</v>
      </c>
      <c r="G93" s="7" t="inlineStr">
        <is>
          <t>P0</t>
        </is>
      </c>
      <c r="H93" s="6" t="inlineStr">
        <is>
          <t>기록 (Records)</t>
        </is>
      </c>
      <c r="I93" s="33" t="inlineStr">
        <is>
          <t>기록 삭제(보호자 권한). 참고: docs/03 §RLS</t>
        </is>
      </c>
    </row>
    <row r="94">
      <c r="A94" s="14" t="n">
        <v>5</v>
      </c>
      <c r="B94" s="5" t="inlineStr">
        <is>
          <t>5.0.7</t>
        </is>
      </c>
      <c r="C94" s="6" t="inlineStr">
        <is>
          <t>기록 임시저장(is_draft)</t>
        </is>
      </c>
      <c r="D94" s="6" t="inlineStr">
        <is>
          <t>PATCH /records/:id/draft</t>
        </is>
      </c>
      <c r="E94" s="5" t="inlineStr">
        <is>
          <t>S</t>
        </is>
      </c>
      <c r="F94" s="5" t="n">
        <v>1</v>
      </c>
      <c r="G94" s="7" t="inlineStr">
        <is>
          <t>P0</t>
        </is>
      </c>
      <c r="H94" s="6" t="inlineStr">
        <is>
          <t>기록 (Records)</t>
        </is>
      </c>
      <c r="I94" s="33" t="inlineStr">
        <is>
          <t>기록 임시저장(is_draft) — 위자드 중간 저장. 참고: docs/05 §4 기록 작성 공통</t>
        </is>
      </c>
    </row>
    <row r="95">
      <c r="A95" s="14" t="n">
        <v>5</v>
      </c>
      <c r="B95" s="5" t="inlineStr">
        <is>
          <t>5.0.8</t>
        </is>
      </c>
      <c r="C95" s="6" t="inlineStr">
        <is>
          <t>기록 이정표 표시</t>
        </is>
      </c>
      <c r="D95" s="6" t="inlineStr">
        <is>
          <t>PATCH /records/:id/milestone</t>
        </is>
      </c>
      <c r="E95" s="5" t="inlineStr">
        <is>
          <t>XS</t>
        </is>
      </c>
      <c r="F95" s="5" t="n">
        <v>0.5</v>
      </c>
      <c r="G95" s="7" t="inlineStr">
        <is>
          <t>P0</t>
        </is>
      </c>
      <c r="H95" s="6" t="inlineStr">
        <is>
          <t>기록 (Records)</t>
        </is>
      </c>
      <c r="I95" s="33" t="inlineStr">
        <is>
          <t>기록을 이정표(is_milestone)로 표시 → 타임라인 강조. 참고: docs/05 §6 타임라인</t>
        </is>
      </c>
    </row>
    <row r="96">
      <c r="A96" s="14" t="n">
        <v>5</v>
      </c>
      <c r="B96" s="5" t="inlineStr">
        <is>
          <t>5.0.9</t>
        </is>
      </c>
      <c r="C96" s="6" t="inlineStr">
        <is>
          <t>기록 고정/해제</t>
        </is>
      </c>
      <c r="D96" s="6" t="inlineStr">
        <is>
          <t>PATCH /records/:id/pin</t>
        </is>
      </c>
      <c r="E96" s="5" t="inlineStr">
        <is>
          <t>XS</t>
        </is>
      </c>
      <c r="F96" s="5" t="n">
        <v>0.5</v>
      </c>
      <c r="G96" s="7" t="inlineStr">
        <is>
          <t>P0</t>
        </is>
      </c>
      <c r="H96" s="6" t="inlineStr">
        <is>
          <t>기록 (Records)</t>
        </is>
      </c>
      <c r="I96" s="33" t="inlineStr">
        <is>
          <t>기록 고정/해제(상단 핀). 참고: docs/02 §2(records)</t>
        </is>
      </c>
    </row>
    <row r="97">
      <c r="A97" s="14" t="n">
        <v>5</v>
      </c>
      <c r="B97" s="5" t="inlineStr">
        <is>
          <t>5.0.10</t>
        </is>
      </c>
      <c r="C97" s="6" t="inlineStr">
        <is>
          <t>기록 태그 추가/제거</t>
        </is>
      </c>
      <c r="D97" s="6" t="inlineStr">
        <is>
          <t>PATCH /records/:id/tags</t>
        </is>
      </c>
      <c r="E97" s="5" t="inlineStr">
        <is>
          <t>S</t>
        </is>
      </c>
      <c r="F97" s="5" t="n">
        <v>1</v>
      </c>
      <c r="G97" s="8" t="inlineStr">
        <is>
          <t>P1</t>
        </is>
      </c>
      <c r="H97" s="6" t="inlineStr">
        <is>
          <t>기록 (Records)</t>
        </is>
      </c>
      <c r="I97" s="33" t="inlineStr">
        <is>
          <t>기록 태그 추가/제거(P1).</t>
        </is>
      </c>
    </row>
    <row r="98">
      <c r="A98" s="14" t="n">
        <v>5</v>
      </c>
      <c r="B98" s="5" t="inlineStr">
        <is>
          <t>5.0.11</t>
        </is>
      </c>
      <c r="C98" s="6" t="inlineStr">
        <is>
          <t>기록 검색(전문 검색)</t>
        </is>
      </c>
      <c r="D98" s="6" t="inlineStr">
        <is>
          <t>GET /records?q=</t>
        </is>
      </c>
      <c r="E98" s="5" t="inlineStr">
        <is>
          <t>M</t>
        </is>
      </c>
      <c r="F98" s="5" t="n">
        <v>2.5</v>
      </c>
      <c r="G98" s="8" t="inlineStr">
        <is>
          <t>P1</t>
        </is>
      </c>
      <c r="H98" s="6" t="inlineStr">
        <is>
          <t>기록 (Records)</t>
        </is>
      </c>
      <c r="I98" s="33" t="inlineStr">
        <is>
          <t>전문 검색(content 텍스트, P1). 참고: docs/02 §5 인덱스 전략(GIN)</t>
        </is>
      </c>
    </row>
    <row r="99">
      <c r="A99" s="14" t="n">
        <v>5</v>
      </c>
      <c r="B99" s="5" t="inlineStr">
        <is>
          <t>5.0.12</t>
        </is>
      </c>
      <c r="C99" s="6" t="inlineStr">
        <is>
          <t>기록 일괄 내보내기(PDF/CSV)</t>
        </is>
      </c>
      <c r="D99" s="6" t="inlineStr">
        <is>
          <t>POST /records/export</t>
        </is>
      </c>
      <c r="E99" s="5" t="inlineStr">
        <is>
          <t>M</t>
        </is>
      </c>
      <c r="F99" s="5" t="n">
        <v>2.5</v>
      </c>
      <c r="G99" s="8" t="inlineStr">
        <is>
          <t>P1</t>
        </is>
      </c>
      <c r="H99" s="6" t="inlineStr">
        <is>
          <t>기록 (Records)</t>
        </is>
      </c>
      <c r="I99" s="33" t="inlineStr">
        <is>
          <t>기록 일괄 PDF/CSV 내보내기(P1). 참고: docs/05 §6 타임라인 PDF</t>
        </is>
      </c>
    </row>
    <row r="100">
      <c r="A100" s="14" t="n">
        <v>5</v>
      </c>
      <c r="B100" s="5" t="inlineStr">
        <is>
          <t>5.0.13</t>
        </is>
      </c>
      <c r="C100" s="6" t="inlineStr">
        <is>
          <t>기록 작성자별 카운트</t>
        </is>
      </c>
      <c r="D100" s="6" t="inlineStr">
        <is>
          <t>GET /records/stats?by=author</t>
        </is>
      </c>
      <c r="E100" s="5" t="inlineStr">
        <is>
          <t>S</t>
        </is>
      </c>
      <c r="F100" s="5" t="n">
        <v>1</v>
      </c>
      <c r="G100" s="9" t="inlineStr">
        <is>
          <t>P2</t>
        </is>
      </c>
      <c r="H100" s="6" t="inlineStr">
        <is>
          <t>기록 (Records)</t>
        </is>
      </c>
      <c r="I100" s="33" t="inlineStr">
        <is>
          <t>작성자별 기록 통계 카운트(P2).</t>
        </is>
      </c>
    </row>
    <row r="101">
      <c r="A101" s="14" t="n">
        <v>5</v>
      </c>
      <c r="B101" s="5" t="inlineStr">
        <is>
          <t>5.A.1</t>
        </is>
      </c>
      <c r="C101" s="6" t="inlineStr">
        <is>
          <t>MED-001 초기 진단 요약(보호자)</t>
        </is>
      </c>
      <c r="D101" s="6" t="inlineStr">
        <is>
          <t>CRUD</t>
        </is>
      </c>
      <c r="E101" s="5" t="inlineStr">
        <is>
          <t>S</t>
        </is>
      </c>
      <c r="F101" s="5" t="n">
        <v>1</v>
      </c>
      <c r="G101" s="7" t="inlineStr">
        <is>
          <t>P0</t>
        </is>
      </c>
      <c r="H101" s="6" t="inlineStr">
        <is>
          <t>기록 (Records)</t>
        </is>
      </c>
      <c r="I101" s="33" t="inlineStr">
        <is>
          <t>MED-001 초기 진단 요약(보호자 작성). content JSONB: 진단명·진단일·기관. 참고: docs/01-record-matrix.md §1 영유아기, docs/02 §3 JSONB(MED-001)</t>
        </is>
      </c>
    </row>
    <row r="102">
      <c r="A102" s="14" t="n">
        <v>5</v>
      </c>
      <c r="B102" s="5" t="inlineStr">
        <is>
          <t>5.A.2</t>
        </is>
      </c>
      <c r="C102" s="6" t="inlineStr">
        <is>
          <t>MED-002 발달 검사 결과(보호자)</t>
        </is>
      </c>
      <c r="D102" s="6" t="inlineStr">
        <is>
          <t>CRUD</t>
        </is>
      </c>
      <c r="E102" s="5" t="inlineStr">
        <is>
          <t>S</t>
        </is>
      </c>
      <c r="F102" s="5" t="n">
        <v>1</v>
      </c>
      <c r="G102" s="7" t="inlineStr">
        <is>
          <t>P0</t>
        </is>
      </c>
      <c r="H102" s="6" t="inlineStr">
        <is>
          <t>기록 (Records)</t>
        </is>
      </c>
      <c r="I102" s="33" t="inlineStr">
        <is>
          <t>MED-002 발달 검사 결과(보호자). 검사도구·점수·해석. 참고: docs/01 §1·§2, docs/02 §3 JSONB(MED-002)</t>
        </is>
      </c>
    </row>
    <row r="103">
      <c r="A103" s="14" t="n">
        <v>5</v>
      </c>
      <c r="B103" s="5" t="inlineStr">
        <is>
          <t>5.A.3</t>
        </is>
      </c>
      <c r="C103" s="6" t="inlineStr">
        <is>
          <t>MED-003 복약 기록(보호자)</t>
        </is>
      </c>
      <c r="D103" s="6" t="inlineStr">
        <is>
          <t>CRUD</t>
        </is>
      </c>
      <c r="E103" s="5" t="inlineStr">
        <is>
          <t>S</t>
        </is>
      </c>
      <c r="F103" s="5" t="n">
        <v>1</v>
      </c>
      <c r="G103" s="7" t="inlineStr">
        <is>
          <t>P0</t>
        </is>
      </c>
      <c r="H103" s="6" t="inlineStr">
        <is>
          <t>기록 (Records)</t>
        </is>
      </c>
      <c r="I103" s="33" t="inlineStr">
        <is>
          <t>MED-003 복약 기록(보호자). 약물·용량·주기·부작용. 참고: docs/02 §3 JSONB(MED-003)</t>
        </is>
      </c>
    </row>
    <row r="104">
      <c r="A104" s="14" t="n">
        <v>5</v>
      </c>
      <c r="B104" s="5" t="inlineStr">
        <is>
          <t>5.A.4</t>
        </is>
      </c>
      <c r="C104" s="6" t="inlineStr">
        <is>
          <t>MED-004 응급 대응 정보(보호자·핀고정)</t>
        </is>
      </c>
      <c r="D104" s="6" t="inlineStr">
        <is>
          <t>CRUD</t>
        </is>
      </c>
      <c r="E104" s="5" t="inlineStr">
        <is>
          <t>S</t>
        </is>
      </c>
      <c r="F104" s="5" t="n">
        <v>1</v>
      </c>
      <c r="G104" s="7" t="inlineStr">
        <is>
          <t>P0</t>
        </is>
      </c>
      <c r="H104" s="6" t="inlineStr">
        <is>
          <t>기록 (Records)</t>
        </is>
      </c>
      <c r="I104" s="33" t="inlineStr">
        <is>
          <t>MED-004 응급 대응 정보(보호자·핀고정·삭제불가). 발작·알레르기·대처. 참고: docs/02 §3 JSONB(MED-004), docs/08-wbs.md §17.2.5</t>
        </is>
      </c>
    </row>
    <row r="105">
      <c r="A105" s="14" t="n">
        <v>5</v>
      </c>
      <c r="B105" s="5" t="inlineStr">
        <is>
          <t>5.A.5</t>
        </is>
      </c>
      <c r="C105" s="6" t="inlineStr">
        <is>
          <t>MED-005 치료계획서(치료사)</t>
        </is>
      </c>
      <c r="D105" s="6" t="inlineStr">
        <is>
          <t>CRUD</t>
        </is>
      </c>
      <c r="E105" s="5" t="inlineStr">
        <is>
          <t>M</t>
        </is>
      </c>
      <c r="F105" s="5" t="n">
        <v>2.5</v>
      </c>
      <c r="G105" s="7" t="inlineStr">
        <is>
          <t>P0</t>
        </is>
      </c>
      <c r="H105" s="6" t="inlineStr">
        <is>
          <t>기록 (Records)</t>
        </is>
      </c>
      <c r="I105" s="33" t="inlineStr">
        <is>
          <t>MED-005 치료계획서(치료사). 목표·회기 계획·평가지표. 참고: docs/01 §2·§3, docs/02 §3 JSONB(MED-005), wireframes/web/59-therapist-plan.svg</t>
        </is>
      </c>
    </row>
    <row r="106">
      <c r="A106" s="14" t="n">
        <v>5</v>
      </c>
      <c r="B106" s="5" t="inlineStr">
        <is>
          <t>5.A.6</t>
        </is>
      </c>
      <c r="C106" s="6" t="inlineStr">
        <is>
          <t>MED-006 치료 회기 일지(치료사)</t>
        </is>
      </c>
      <c r="D106" s="6" t="inlineStr">
        <is>
          <t>CRUD</t>
        </is>
      </c>
      <c r="E106" s="5" t="inlineStr">
        <is>
          <t>S</t>
        </is>
      </c>
      <c r="F106" s="5" t="n">
        <v>1</v>
      </c>
      <c r="G106" s="7" t="inlineStr">
        <is>
          <t>P0</t>
        </is>
      </c>
      <c r="H106" s="6" t="inlineStr">
        <is>
          <t>기록 (Records)</t>
        </is>
      </c>
      <c r="I106" s="33" t="inlineStr">
        <is>
          <t>MED-006 치료 회기 일지(치료사). 회기 활동·반응·과제. 참고: docs/02 §3 JSONB(MED-006), wireframes/web/60-therapist-session-form.svg</t>
        </is>
      </c>
    </row>
    <row r="107">
      <c r="A107" s="14" t="n">
        <v>5</v>
      </c>
      <c r="B107" s="5" t="inlineStr">
        <is>
          <t>5.A.7</t>
        </is>
      </c>
      <c r="C107" s="6" t="inlineStr">
        <is>
          <t>MED-007 치료 평가 보고서(치료사)</t>
        </is>
      </c>
      <c r="D107" s="6" t="inlineStr">
        <is>
          <t>CRUD</t>
        </is>
      </c>
      <c r="E107" s="5" t="inlineStr">
        <is>
          <t>M</t>
        </is>
      </c>
      <c r="F107" s="5" t="n">
        <v>2.5</v>
      </c>
      <c r="G107" s="7" t="inlineStr">
        <is>
          <t>P0</t>
        </is>
      </c>
      <c r="H107" s="6" t="inlineStr">
        <is>
          <t>기록 (Records)</t>
        </is>
      </c>
      <c r="I107" s="33" t="inlineStr">
        <is>
          <t>MED-007 치료 평가 보고서(치료사). 기간 성과·재평가. 참고: docs/02 §3 JSONB(MED-007), wireframes/web/61-therapist-evaluation.svg</t>
        </is>
      </c>
    </row>
    <row r="108">
      <c r="A108" s="14" t="n">
        <v>5</v>
      </c>
      <c r="B108" s="5" t="inlineStr">
        <is>
          <t>5.A.8</t>
        </is>
      </c>
      <c r="C108" s="6" t="inlineStr">
        <is>
          <t>MED-008 정기 검진 요약(보호자)</t>
        </is>
      </c>
      <c r="D108" s="6" t="inlineStr">
        <is>
          <t>CRUD</t>
        </is>
      </c>
      <c r="E108" s="5" t="inlineStr">
        <is>
          <t>S</t>
        </is>
      </c>
      <c r="F108" s="5" t="n">
        <v>1</v>
      </c>
      <c r="G108" s="7" t="inlineStr">
        <is>
          <t>P0</t>
        </is>
      </c>
      <c r="H108" s="6" t="inlineStr">
        <is>
          <t>기록 (Records)</t>
        </is>
      </c>
      <c r="I108" s="33" t="inlineStr">
        <is>
          <t>MED-008 정기 검진 요약(보호자). 참고: docs/02 §3 JSONB(MED-008)</t>
        </is>
      </c>
    </row>
    <row r="109">
      <c r="A109" s="14" t="n">
        <v>5</v>
      </c>
      <c r="B109" s="5" t="inlineStr">
        <is>
          <t>5.A.9</t>
        </is>
      </c>
      <c r="C109" s="6" t="inlineStr">
        <is>
          <t>MED-009 치료 종결 평가(치료사)</t>
        </is>
      </c>
      <c r="D109" s="6" t="inlineStr">
        <is>
          <t>CRUD</t>
        </is>
      </c>
      <c r="E109" s="5" t="inlineStr">
        <is>
          <t>S</t>
        </is>
      </c>
      <c r="F109" s="5" t="n">
        <v>1</v>
      </c>
      <c r="G109" s="8" t="inlineStr">
        <is>
          <t>P1</t>
        </is>
      </c>
      <c r="H109" s="6" t="inlineStr">
        <is>
          <t>기록 (Records)</t>
        </is>
      </c>
      <c r="I109" s="33" t="inlineStr">
        <is>
          <t>MED-009 치료 종결 평가(치료사·삭제불가, P1). 참고: docs/02 §3 JSONB(MED-009)</t>
        </is>
      </c>
    </row>
    <row r="110">
      <c r="A110" s="14" t="n">
        <v>5</v>
      </c>
      <c r="B110" s="5" t="inlineStr">
        <is>
          <t>5.A.10</t>
        </is>
      </c>
      <c r="C110" s="6" t="inlineStr">
        <is>
          <t>MED-010 만성질환 관리(보호자)</t>
        </is>
      </c>
      <c r="D110" s="6" t="inlineStr">
        <is>
          <t>CRUD</t>
        </is>
      </c>
      <c r="E110" s="5" t="inlineStr">
        <is>
          <t>S</t>
        </is>
      </c>
      <c r="F110" s="5" t="n">
        <v>1</v>
      </c>
      <c r="G110" s="8" t="inlineStr">
        <is>
          <t>P1</t>
        </is>
      </c>
      <c r="H110" s="6" t="inlineStr">
        <is>
          <t>기록 (Records)</t>
        </is>
      </c>
      <c r="I110" s="33" t="inlineStr">
        <is>
          <t>MED-010 만성질환 관리(보호자, P1·중장년). 참고: docs/01 §6 중장년/노년기, docs/02 §3 JSONB(MED-010)</t>
        </is>
      </c>
    </row>
    <row r="111">
      <c r="A111" s="14" t="n">
        <v>5</v>
      </c>
      <c r="B111" s="5" t="inlineStr">
        <is>
          <t>5.B.1</t>
        </is>
      </c>
      <c r="C111" s="6" t="inlineStr">
        <is>
          <t>EDU-001 IEP(특수교사)</t>
        </is>
      </c>
      <c r="D111" s="6" t="inlineStr">
        <is>
          <t>CRUD</t>
        </is>
      </c>
      <c r="E111" s="5" t="inlineStr">
        <is>
          <t>L</t>
        </is>
      </c>
      <c r="F111" s="5" t="n">
        <v>5</v>
      </c>
      <c r="G111" s="7" t="inlineStr">
        <is>
          <t>P0</t>
        </is>
      </c>
      <c r="H111" s="6" t="inlineStr">
        <is>
          <t>기록 (Records)</t>
        </is>
      </c>
      <c r="I111" s="33" t="inlineStr">
        <is>
          <t>EDU-001 IEP 개별화교육계획(특수교사·최대 공수). 현행수준·연간/단기목표·평가. 참고: docs/01 §2 아동기, docs/02 §3 JSONB(EDU-001), wireframes/web/45-teacher-iep-form.svg</t>
        </is>
      </c>
    </row>
    <row r="112">
      <c r="A112" s="14" t="n">
        <v>5</v>
      </c>
      <c r="B112" s="5" t="inlineStr">
        <is>
          <t>5.B.2</t>
        </is>
      </c>
      <c r="C112" s="6" t="inlineStr">
        <is>
          <t>EDU-002 유아 특수교육 관찰(교사)</t>
        </is>
      </c>
      <c r="D112" s="6" t="inlineStr">
        <is>
          <t>CRUD</t>
        </is>
      </c>
      <c r="E112" s="5" t="inlineStr">
        <is>
          <t>S</t>
        </is>
      </c>
      <c r="F112" s="5" t="n">
        <v>1</v>
      </c>
      <c r="G112" s="8" t="inlineStr">
        <is>
          <t>P1</t>
        </is>
      </c>
      <c r="H112" s="6" t="inlineStr">
        <is>
          <t>기록 (Records)</t>
        </is>
      </c>
      <c r="I112" s="33" t="inlineStr">
        <is>
          <t>EDU-002 유아 특수교육 관찰(교사, P1·영유아). 참고: docs/01 §1, docs/02 §3 JSONB(EDU-002)</t>
        </is>
      </c>
    </row>
    <row r="113">
      <c r="A113" s="14" t="n">
        <v>5</v>
      </c>
      <c r="B113" s="5" t="inlineStr">
        <is>
          <t>5.B.3</t>
        </is>
      </c>
      <c r="C113" s="6" t="inlineStr">
        <is>
          <t>EDU-003 IEP 중간 점검(교사)</t>
        </is>
      </c>
      <c r="D113" s="6" t="inlineStr">
        <is>
          <t>CRUD</t>
        </is>
      </c>
      <c r="E113" s="5" t="inlineStr">
        <is>
          <t>M</t>
        </is>
      </c>
      <c r="F113" s="5" t="n">
        <v>2.5</v>
      </c>
      <c r="G113" s="7" t="inlineStr">
        <is>
          <t>P0</t>
        </is>
      </c>
      <c r="H113" s="6" t="inlineStr">
        <is>
          <t>기록 (Records)</t>
        </is>
      </c>
      <c r="I113" s="33" t="inlineStr">
        <is>
          <t>EDU-003 IEP 중간 점검(교사). 목표 달성도 평가. 참고: docs/02 §3 JSONB(EDU-003), wireframes/web/46-teacher-iep-review.svg</t>
        </is>
      </c>
    </row>
    <row r="114">
      <c r="A114" s="14" t="n">
        <v>5</v>
      </c>
      <c r="B114" s="5" t="inlineStr">
        <is>
          <t>5.B.4</t>
        </is>
      </c>
      <c r="C114" s="6" t="inlineStr">
        <is>
          <t>EDU-004 학교생활 관찰(교사)</t>
        </is>
      </c>
      <c r="D114" s="6" t="inlineStr">
        <is>
          <t>CRUD</t>
        </is>
      </c>
      <c r="E114" s="5" t="inlineStr">
        <is>
          <t>S</t>
        </is>
      </c>
      <c r="F114" s="5" t="n">
        <v>1</v>
      </c>
      <c r="G114" s="7" t="inlineStr">
        <is>
          <t>P0</t>
        </is>
      </c>
      <c r="H114" s="6" t="inlineStr">
        <is>
          <t>기록 (Records)</t>
        </is>
      </c>
      <c r="I114" s="33" t="inlineStr">
        <is>
          <t>EDU-004 학교생활 관찰(교사). 참고: docs/02 §3 JSONB(EDU-004), wireframes/web/47-teacher-observation.svg</t>
        </is>
      </c>
    </row>
    <row r="115">
      <c r="A115" s="14" t="n">
        <v>5</v>
      </c>
      <c r="B115" s="5" t="inlineStr">
        <is>
          <t>5.B.5</t>
        </is>
      </c>
      <c r="C115" s="6" t="inlineStr">
        <is>
          <t>EDU-005 통합교육 참여(교사)</t>
        </is>
      </c>
      <c r="D115" s="6" t="inlineStr">
        <is>
          <t>CRUD</t>
        </is>
      </c>
      <c r="E115" s="5" t="inlineStr">
        <is>
          <t>S</t>
        </is>
      </c>
      <c r="F115" s="5" t="n">
        <v>1</v>
      </c>
      <c r="G115" s="8" t="inlineStr">
        <is>
          <t>P1</t>
        </is>
      </c>
      <c r="H115" s="6" t="inlineStr">
        <is>
          <t>기록 (Records)</t>
        </is>
      </c>
      <c r="I115" s="33" t="inlineStr">
        <is>
          <t>EDU-005 통합교육 참여(교사, P1). 참고: docs/02 §3 JSONB(EDU-005)</t>
        </is>
      </c>
    </row>
    <row r="116">
      <c r="A116" s="14" t="n">
        <v>5</v>
      </c>
      <c r="B116" s="5" t="inlineStr">
        <is>
          <t>5.B.6</t>
        </is>
      </c>
      <c r="C116" s="6" t="inlineStr">
        <is>
          <t>EDU-006 학교 치료지원(교사+치료사)</t>
        </is>
      </c>
      <c r="D116" s="6" t="inlineStr">
        <is>
          <t>CRUD</t>
        </is>
      </c>
      <c r="E116" s="5" t="inlineStr">
        <is>
          <t>S</t>
        </is>
      </c>
      <c r="F116" s="5" t="n">
        <v>1</v>
      </c>
      <c r="G116" s="8" t="inlineStr">
        <is>
          <t>P1</t>
        </is>
      </c>
      <c r="H116" s="6" t="inlineStr">
        <is>
          <t>기록 (Records)</t>
        </is>
      </c>
      <c r="I116" s="33" t="inlineStr">
        <is>
          <t>EDU-006 학교 치료지원(교사+치료사, P1). 참고: docs/02 §3 JSONB(EDU-006)</t>
        </is>
      </c>
    </row>
    <row r="117">
      <c r="A117" s="14" t="n">
        <v>5</v>
      </c>
      <c r="B117" s="5" t="inlineStr">
        <is>
          <t>5.B.7</t>
        </is>
      </c>
      <c r="C117" s="6" t="inlineStr">
        <is>
          <t>EDU-007 전환교육 계획(교사)</t>
        </is>
      </c>
      <c r="D117" s="6" t="inlineStr">
        <is>
          <t>CRUD</t>
        </is>
      </c>
      <c r="E117" s="5" t="inlineStr">
        <is>
          <t>M</t>
        </is>
      </c>
      <c r="F117" s="5" t="n">
        <v>2.5</v>
      </c>
      <c r="G117" s="7" t="inlineStr">
        <is>
          <t>P0</t>
        </is>
      </c>
      <c r="H117" s="6" t="inlineStr">
        <is>
          <t>기록 (Records)</t>
        </is>
      </c>
      <c r="I117" s="33" t="inlineStr">
        <is>
          <t>EDU-007 전환교육 계획(교사·청소년). 진로·자립 준비. 참고: docs/01 §3 청소년기, docs/02 §3 JSONB(EDU-007), wireframes/web/48-teacher-transition.svg</t>
        </is>
      </c>
    </row>
    <row r="118">
      <c r="A118" s="14" t="n">
        <v>5</v>
      </c>
      <c r="B118" s="5" t="inlineStr">
        <is>
          <t>5.B.8</t>
        </is>
      </c>
      <c r="C118" s="6" t="inlineStr">
        <is>
          <t>EDU-008 직업교육 참여(교사)</t>
        </is>
      </c>
      <c r="D118" s="6" t="inlineStr">
        <is>
          <t>CRUD</t>
        </is>
      </c>
      <c r="E118" s="5" t="inlineStr">
        <is>
          <t>S</t>
        </is>
      </c>
      <c r="F118" s="5" t="n">
        <v>1</v>
      </c>
      <c r="G118" s="8" t="inlineStr">
        <is>
          <t>P1</t>
        </is>
      </c>
      <c r="H118" s="6" t="inlineStr">
        <is>
          <t>기록 (Records)</t>
        </is>
      </c>
      <c r="I118" s="33" t="inlineStr">
        <is>
          <t>EDU-008 직업교육 참여(교사, P1). 참고: docs/02 §3 JSONB(EDU-008)</t>
        </is>
      </c>
    </row>
    <row r="119">
      <c r="A119" s="14" t="n">
        <v>5</v>
      </c>
      <c r="B119" s="5" t="inlineStr">
        <is>
          <t>5.B.9</t>
        </is>
      </c>
      <c r="C119" s="6" t="inlineStr">
        <is>
          <t>EDU-009 졸업/수료(교사)</t>
        </is>
      </c>
      <c r="D119" s="6" t="inlineStr">
        <is>
          <t>CRUD</t>
        </is>
      </c>
      <c r="E119" s="5" t="inlineStr">
        <is>
          <t>S</t>
        </is>
      </c>
      <c r="F119" s="5" t="n">
        <v>1</v>
      </c>
      <c r="G119" s="7" t="inlineStr">
        <is>
          <t>P0</t>
        </is>
      </c>
      <c r="H119" s="6" t="inlineStr">
        <is>
          <t>기록 (Records)</t>
        </is>
      </c>
      <c r="I119" s="33" t="inlineStr">
        <is>
          <t>EDU-009 졸업/수료(교사·삭제불가). 참고: docs/02 §3 JSONB(EDU-009)</t>
        </is>
      </c>
    </row>
    <row r="120">
      <c r="A120" s="14" t="n">
        <v>5</v>
      </c>
      <c r="B120" s="5" t="inlineStr">
        <is>
          <t>5.C.1</t>
        </is>
      </c>
      <c r="C120" s="6" t="inlineStr">
        <is>
          <t>WEL-001 장애 등록(보호자)</t>
        </is>
      </c>
      <c r="D120" s="6" t="inlineStr">
        <is>
          <t>CRUD</t>
        </is>
      </c>
      <c r="E120" s="5" t="inlineStr">
        <is>
          <t>S</t>
        </is>
      </c>
      <c r="F120" s="5" t="n">
        <v>1</v>
      </c>
      <c r="G120" s="7" t="inlineStr">
        <is>
          <t>P0</t>
        </is>
      </c>
      <c r="H120" s="6" t="inlineStr">
        <is>
          <t>기록 (Records)</t>
        </is>
      </c>
      <c r="I120" s="33" t="inlineStr">
        <is>
          <t>WEL-001 장애 등록(보호자·삭제불가). 장애유형·정도·등록일. 참고: docs/01 §1, docs/02 §3 JSONB(WEL-001)</t>
        </is>
      </c>
    </row>
    <row r="121">
      <c r="A121" s="14" t="n">
        <v>5</v>
      </c>
      <c r="B121" s="5" t="inlineStr">
        <is>
          <t>5.C.2</t>
        </is>
      </c>
      <c r="C121" s="6" t="inlineStr">
        <is>
          <t>WEL-002 초기 복지 연계(복지사)</t>
        </is>
      </c>
      <c r="D121" s="6" t="inlineStr">
        <is>
          <t>CRUD</t>
        </is>
      </c>
      <c r="E121" s="5" t="inlineStr">
        <is>
          <t>S</t>
        </is>
      </c>
      <c r="F121" s="5" t="n">
        <v>1</v>
      </c>
      <c r="G121" s="7" t="inlineStr">
        <is>
          <t>P0</t>
        </is>
      </c>
      <c r="H121" s="6" t="inlineStr">
        <is>
          <t>기록 (Records)</t>
        </is>
      </c>
      <c r="I121" s="33" t="inlineStr">
        <is>
          <t>WEL-002 초기 복지 연계(복지사). 참고: docs/02 §3 JSONB(WEL-002)</t>
        </is>
      </c>
    </row>
    <row r="122">
      <c r="A122" s="14" t="n">
        <v>5</v>
      </c>
      <c r="B122" s="5" t="inlineStr">
        <is>
          <t>5.C.3</t>
        </is>
      </c>
      <c r="C122" s="6" t="inlineStr">
        <is>
          <t>WEL-003 활동지원 계획서(복지사)</t>
        </is>
      </c>
      <c r="D122" s="6" t="inlineStr">
        <is>
          <t>CRUD</t>
        </is>
      </c>
      <c r="E122" s="5" t="inlineStr">
        <is>
          <t>M</t>
        </is>
      </c>
      <c r="F122" s="5" t="n">
        <v>2.5</v>
      </c>
      <c r="G122" s="7" t="inlineStr">
        <is>
          <t>P0</t>
        </is>
      </c>
      <c r="H122" s="6" t="inlineStr">
        <is>
          <t>기록 (Records)</t>
        </is>
      </c>
      <c r="I122" s="33" t="inlineStr">
        <is>
          <t>WEL-003 활동지원 계획서(복지사). 참고: docs/02 §3 JSONB(WEL-003)</t>
        </is>
      </c>
    </row>
    <row r="123">
      <c r="A123" s="14" t="n">
        <v>5</v>
      </c>
      <c r="B123" s="5" t="inlineStr">
        <is>
          <t>5.C.4</t>
        </is>
      </c>
      <c r="C123" s="6" t="inlineStr">
        <is>
          <t>WEL-004 ISP(복지사)</t>
        </is>
      </c>
      <c r="D123" s="6" t="inlineStr">
        <is>
          <t>CRUD</t>
        </is>
      </c>
      <c r="E123" s="5" t="inlineStr">
        <is>
          <t>L</t>
        </is>
      </c>
      <c r="F123" s="5" t="n">
        <v>5</v>
      </c>
      <c r="G123" s="7" t="inlineStr">
        <is>
          <t>P0</t>
        </is>
      </c>
      <c r="H123" s="6" t="inlineStr">
        <is>
          <t>기록 (Records)</t>
        </is>
      </c>
      <c r="I123" s="33" t="inlineStr">
        <is>
          <t>WEL-004 ISP 개별지원계획(복지사·최대 공수). 욕구·목표·서비스 매핑. 참고: docs/01 §5 성인기, docs/02 §3 JSONB(WEL-004), wireframes/web/53-worker-isp-form.svg</t>
        </is>
      </c>
    </row>
    <row r="124">
      <c r="A124" s="14" t="n">
        <v>5</v>
      </c>
      <c r="B124" s="5" t="inlineStr">
        <is>
          <t>5.C.5</t>
        </is>
      </c>
      <c r="C124" s="6" t="inlineStr">
        <is>
          <t>WEL-005 ISP 중간 점검(복지사)</t>
        </is>
      </c>
      <c r="D124" s="6" t="inlineStr">
        <is>
          <t>CRUD</t>
        </is>
      </c>
      <c r="E124" s="5" t="inlineStr">
        <is>
          <t>M</t>
        </is>
      </c>
      <c r="F124" s="5" t="n">
        <v>2.5</v>
      </c>
      <c r="G124" s="7" t="inlineStr">
        <is>
          <t>P0</t>
        </is>
      </c>
      <c r="H124" s="6" t="inlineStr">
        <is>
          <t>기록 (Records)</t>
        </is>
      </c>
      <c r="I124" s="33" t="inlineStr">
        <is>
          <t>WEL-005 ISP 중간 점검(복지사). 참고: docs/02 §3 JSONB(WEL-005), wireframes/web/52-worker-isp.svg</t>
        </is>
      </c>
    </row>
    <row r="125">
      <c r="A125" s="14" t="n">
        <v>5</v>
      </c>
      <c r="B125" s="5" t="inlineStr">
        <is>
          <t>5.C.6</t>
        </is>
      </c>
      <c r="C125" s="6" t="inlineStr">
        <is>
          <t>WEL-006 서비스 이용 현황(복지사)</t>
        </is>
      </c>
      <c r="D125" s="6" t="inlineStr">
        <is>
          <t>CRUD</t>
        </is>
      </c>
      <c r="E125" s="5" t="inlineStr">
        <is>
          <t>M</t>
        </is>
      </c>
      <c r="F125" s="5" t="n">
        <v>2.5</v>
      </c>
      <c r="G125" s="7" t="inlineStr">
        <is>
          <t>P0</t>
        </is>
      </c>
      <c r="H125" s="6" t="inlineStr">
        <is>
          <t>기록 (Records)</t>
        </is>
      </c>
      <c r="I125" s="33" t="inlineStr">
        <is>
          <t>WEL-006 서비스 이용 현황(복지사·매트릭스). 참고: docs/02 §3 JSONB(WEL-006), wireframes/web/55-worker-service-matrix.svg</t>
        </is>
      </c>
    </row>
    <row r="126">
      <c r="A126" s="14" t="n">
        <v>5</v>
      </c>
      <c r="B126" s="5" t="inlineStr">
        <is>
          <t>5.C.7</t>
        </is>
      </c>
      <c r="C126" s="6" t="inlineStr">
        <is>
          <t>WEL-007 노인복지 연계(복지사)</t>
        </is>
      </c>
      <c r="D126" s="6" t="inlineStr">
        <is>
          <t>CRUD</t>
        </is>
      </c>
      <c r="E126" s="5" t="inlineStr">
        <is>
          <t>S</t>
        </is>
      </c>
      <c r="F126" s="5" t="n">
        <v>1</v>
      </c>
      <c r="G126" s="9" t="inlineStr">
        <is>
          <t>P2</t>
        </is>
      </c>
      <c r="H126" s="6" t="inlineStr">
        <is>
          <t>기록 (Records)</t>
        </is>
      </c>
      <c r="I126" s="33" t="inlineStr">
        <is>
          <t>WEL-007 노인복지 연계(복지사, P2·노년). 참고: docs/01 §6, docs/02 §3 JSONB(WEL-007)</t>
        </is>
      </c>
    </row>
    <row r="127">
      <c r="A127" s="14" t="n">
        <v>5</v>
      </c>
      <c r="B127" s="5" t="inlineStr">
        <is>
          <t>5.D.1</t>
        </is>
      </c>
      <c r="C127" s="6" t="inlineStr">
        <is>
          <t>DAI-001 영유아 돌봄(보호자)</t>
        </is>
      </c>
      <c r="D127" s="6" t="inlineStr">
        <is>
          <t>CRUD</t>
        </is>
      </c>
      <c r="E127" s="5" t="inlineStr">
        <is>
          <t>S</t>
        </is>
      </c>
      <c r="F127" s="5" t="n">
        <v>1</v>
      </c>
      <c r="G127" s="8" t="inlineStr">
        <is>
          <t>P1</t>
        </is>
      </c>
      <c r="H127" s="6" t="inlineStr">
        <is>
          <t>기록 (Records)</t>
        </is>
      </c>
      <c r="I127" s="33" t="inlineStr">
        <is>
          <t>DAI-001 영유아 돌봄(보호자, P1). 참고: docs/01 §1, docs/02 §3 JSONB(DAI-001)</t>
        </is>
      </c>
    </row>
    <row r="128">
      <c r="A128" s="14" t="n">
        <v>5</v>
      </c>
      <c r="B128" s="5" t="inlineStr">
        <is>
          <t>5.D.2</t>
        </is>
      </c>
      <c r="C128" s="6" t="inlineStr">
        <is>
          <t>DAI-002 활동지원 일지(지원사)</t>
        </is>
      </c>
      <c r="D128" s="6" t="inlineStr">
        <is>
          <t>CRUD</t>
        </is>
      </c>
      <c r="E128" s="5" t="inlineStr">
        <is>
          <t>M</t>
        </is>
      </c>
      <c r="F128" s="5" t="n">
        <v>2.5</v>
      </c>
      <c r="G128" s="7" t="inlineStr">
        <is>
          <t>P0</t>
        </is>
      </c>
      <c r="H128" s="6" t="inlineStr">
        <is>
          <t>기록 (Records)</t>
        </is>
      </c>
      <c r="I128" s="33" t="inlineStr">
        <is>
          <t>DAI-002 활동지원 일지(활동지원사·핵심). 활동·식사·특이사항. 참고: docs/04 §3 활동지원사, docs/02 §3 JSONB(DAI-002), wireframes/web/38-supporter-journal-form.svg</t>
        </is>
      </c>
    </row>
    <row r="129">
      <c r="A129" s="14" t="n">
        <v>5</v>
      </c>
      <c r="B129" s="5" t="inlineStr">
        <is>
          <t>5.D.3</t>
        </is>
      </c>
      <c r="C129" s="6" t="inlineStr">
        <is>
          <t>DAI-003 행동 관찰(지원사)</t>
        </is>
      </c>
      <c r="D129" s="6" t="inlineStr">
        <is>
          <t>CRUD</t>
        </is>
      </c>
      <c r="E129" s="5" t="inlineStr">
        <is>
          <t>S</t>
        </is>
      </c>
      <c r="F129" s="5" t="n">
        <v>1</v>
      </c>
      <c r="G129" s="7" t="inlineStr">
        <is>
          <t>P0</t>
        </is>
      </c>
      <c r="H129" s="6" t="inlineStr">
        <is>
          <t>기록 (Records)</t>
        </is>
      </c>
      <c r="I129" s="33" t="inlineStr">
        <is>
          <t>DAI-003 행동 관찰(지원사). 참고: docs/02 §3 JSONB(DAI-003)</t>
        </is>
      </c>
    </row>
    <row r="130">
      <c r="A130" s="14" t="n">
        <v>5</v>
      </c>
      <c r="B130" s="5" t="inlineStr">
        <is>
          <t>5.D.4</t>
        </is>
      </c>
      <c r="C130" s="6" t="inlineStr">
        <is>
          <t>DAI-004 식이 기록(지원사)</t>
        </is>
      </c>
      <c r="D130" s="6" t="inlineStr">
        <is>
          <t>CRUD</t>
        </is>
      </c>
      <c r="E130" s="5" t="inlineStr">
        <is>
          <t>S</t>
        </is>
      </c>
      <c r="F130" s="5" t="n">
        <v>1</v>
      </c>
      <c r="G130" s="8" t="inlineStr">
        <is>
          <t>P1</t>
        </is>
      </c>
      <c r="H130" s="6" t="inlineStr">
        <is>
          <t>기록 (Records)</t>
        </is>
      </c>
      <c r="I130" s="33" t="inlineStr">
        <is>
          <t>DAI-004 식이 기록(지원사, P1). 참고: docs/02 §3 JSONB(DAI-004)</t>
        </is>
      </c>
    </row>
    <row r="131">
      <c r="A131" s="14" t="n">
        <v>5</v>
      </c>
      <c r="B131" s="5" t="inlineStr">
        <is>
          <t>5.D.5</t>
        </is>
      </c>
      <c r="C131" s="6" t="inlineStr">
        <is>
          <t>DAI-005 수면 기록(지원사)</t>
        </is>
      </c>
      <c r="D131" s="6" t="inlineStr">
        <is>
          <t>CRUD</t>
        </is>
      </c>
      <c r="E131" s="5" t="inlineStr">
        <is>
          <t>S</t>
        </is>
      </c>
      <c r="F131" s="5" t="n">
        <v>1</v>
      </c>
      <c r="G131" s="8" t="inlineStr">
        <is>
          <t>P1</t>
        </is>
      </c>
      <c r="H131" s="6" t="inlineStr">
        <is>
          <t>기록 (Records)</t>
        </is>
      </c>
      <c r="I131" s="33" t="inlineStr">
        <is>
          <t>DAI-005 수면 기록(지원사, P1). 참고: docs/02 §3 JSONB(DAI-005)</t>
        </is>
      </c>
    </row>
    <row r="132">
      <c r="A132" s="14" t="n">
        <v>5</v>
      </c>
      <c r="B132" s="5" t="inlineStr">
        <is>
          <t>5.E.1</t>
        </is>
      </c>
      <c r="C132" s="6" t="inlineStr">
        <is>
          <t>TRA-001 전환계획서(복지사)</t>
        </is>
      </c>
      <c r="D132" s="6" t="inlineStr">
        <is>
          <t>CRUD</t>
        </is>
      </c>
      <c r="E132" s="5" t="inlineStr">
        <is>
          <t>L</t>
        </is>
      </c>
      <c r="F132" s="5" t="n">
        <v>5</v>
      </c>
      <c r="G132" s="7" t="inlineStr">
        <is>
          <t>P0</t>
        </is>
      </c>
      <c r="H132" s="6" t="inlineStr">
        <is>
          <t>기록 (Records)</t>
        </is>
      </c>
      <c r="I132" s="33" t="inlineStr">
        <is>
          <t>TRA-001 전환계획서(복지사·성인전환기). 교육→자립 종합 계획. 참고: docs/01 §4 성인전환기, docs/02 §3 JSONB(TRA-001), wireframes/web/54-worker-transition.svg</t>
        </is>
      </c>
    </row>
    <row r="133">
      <c r="A133" s="14" t="n">
        <v>5</v>
      </c>
      <c r="B133" s="5" t="inlineStr">
        <is>
          <t>5.E.2</t>
        </is>
      </c>
      <c r="C133" s="6" t="inlineStr">
        <is>
          <t>TRA-002 직업 역량 평가(복지사)</t>
        </is>
      </c>
      <c r="D133" s="6" t="inlineStr">
        <is>
          <t>CRUD</t>
        </is>
      </c>
      <c r="E133" s="5" t="inlineStr">
        <is>
          <t>M</t>
        </is>
      </c>
      <c r="F133" s="5" t="n">
        <v>2.5</v>
      </c>
      <c r="G133" s="7" t="inlineStr">
        <is>
          <t>P0</t>
        </is>
      </c>
      <c r="H133" s="6" t="inlineStr">
        <is>
          <t>기록 (Records)</t>
        </is>
      </c>
      <c r="I133" s="33" t="inlineStr">
        <is>
          <t>TRA-002 직업 역량 평가(복지사). 참고: docs/02 §3 JSONB(TRA-002)</t>
        </is>
      </c>
    </row>
    <row r="134">
      <c r="A134" s="14" t="n">
        <v>5</v>
      </c>
      <c r="B134" s="5" t="inlineStr">
        <is>
          <t>5.E.3</t>
        </is>
      </c>
      <c r="C134" s="6" t="inlineStr">
        <is>
          <t>TRA-003 직업훈련/취업(복지사)</t>
        </is>
      </c>
      <c r="D134" s="6" t="inlineStr">
        <is>
          <t>CRUD</t>
        </is>
      </c>
      <c r="E134" s="5" t="inlineStr">
        <is>
          <t>M</t>
        </is>
      </c>
      <c r="F134" s="5" t="n">
        <v>2.5</v>
      </c>
      <c r="G134" s="7" t="inlineStr">
        <is>
          <t>P0</t>
        </is>
      </c>
      <c r="H134" s="6" t="inlineStr">
        <is>
          <t>기록 (Records)</t>
        </is>
      </c>
      <c r="I134" s="33" t="inlineStr">
        <is>
          <t>TRA-003 직업훈련/취업(복지사). 참고: docs/02 §3 JSONB(TRA-003)</t>
        </is>
      </c>
    </row>
    <row r="135">
      <c r="A135" s="14" t="n">
        <v>5</v>
      </c>
      <c r="B135" s="5" t="inlineStr">
        <is>
          <t>5.E.4</t>
        </is>
      </c>
      <c r="C135" s="6" t="inlineStr">
        <is>
          <t>TRA-004 자립생활 계획(복지사)</t>
        </is>
      </c>
      <c r="D135" s="6" t="inlineStr">
        <is>
          <t>CRUD</t>
        </is>
      </c>
      <c r="E135" s="5" t="inlineStr">
        <is>
          <t>M</t>
        </is>
      </c>
      <c r="F135" s="5" t="n">
        <v>2.5</v>
      </c>
      <c r="G135" s="8" t="inlineStr">
        <is>
          <t>P1</t>
        </is>
      </c>
      <c r="H135" s="6" t="inlineStr">
        <is>
          <t>기록 (Records)</t>
        </is>
      </c>
      <c r="I135" s="33" t="inlineStr">
        <is>
          <t>TRA-004 자립생활 계획(복지사, P1). 참고: docs/02 §3 JSONB(TRA-004)</t>
        </is>
      </c>
    </row>
    <row r="136">
      <c r="A136" s="14" t="n">
        <v>5</v>
      </c>
      <c r="B136" s="5" t="inlineStr">
        <is>
          <t>5.E.5</t>
        </is>
      </c>
      <c r="C136" s="6" t="inlineStr">
        <is>
          <t>TRA-005 자립생활 경과(복지사)</t>
        </is>
      </c>
      <c r="D136" s="6" t="inlineStr">
        <is>
          <t>CRUD</t>
        </is>
      </c>
      <c r="E136" s="5" t="inlineStr">
        <is>
          <t>S</t>
        </is>
      </c>
      <c r="F136" s="5" t="n">
        <v>1</v>
      </c>
      <c r="G136" s="8" t="inlineStr">
        <is>
          <t>P1</t>
        </is>
      </c>
      <c r="H136" s="6" t="inlineStr">
        <is>
          <t>기록 (Records)</t>
        </is>
      </c>
      <c r="I136" s="33" t="inlineStr">
        <is>
          <t>TRA-005 자립생활 경과(복지사, P1). 참고: docs/02 §3 JSONB(TRA-005)</t>
        </is>
      </c>
    </row>
    <row r="137">
      <c r="A137" s="14" t="n">
        <v>5</v>
      </c>
      <c r="B137" s="5" t="inlineStr">
        <is>
          <t>5.E.6</t>
        </is>
      </c>
      <c r="C137" s="6" t="inlineStr">
        <is>
          <t>TRA-006 의사결정 지원(복지사+당사자)</t>
        </is>
      </c>
      <c r="D137" s="6" t="inlineStr">
        <is>
          <t>CRUD</t>
        </is>
      </c>
      <c r="E137" s="5" t="inlineStr">
        <is>
          <t>M</t>
        </is>
      </c>
      <c r="F137" s="5" t="n">
        <v>2.5</v>
      </c>
      <c r="G137" s="8" t="inlineStr">
        <is>
          <t>P1</t>
        </is>
      </c>
      <c r="H137" s="6" t="inlineStr">
        <is>
          <t>기록 (Records)</t>
        </is>
      </c>
      <c r="I137" s="33" t="inlineStr">
        <is>
          <t>TRA-006 의사결정 지원(복지사+당사자, P1). 참고: docs/01 §5, docs/02 §3 JSONB(TRA-006)</t>
        </is>
      </c>
    </row>
    <row r="138">
      <c r="A138" s="14" t="n">
        <v>5</v>
      </c>
      <c r="B138" s="5" t="inlineStr">
        <is>
          <t>5.E.7</t>
        </is>
      </c>
      <c r="C138" s="6" t="inlineStr">
        <is>
          <t>TRA-007 돌봄 전환 계획(복지사+보호자)</t>
        </is>
      </c>
      <c r="D138" s="6" t="inlineStr">
        <is>
          <t>CRUD</t>
        </is>
      </c>
      <c r="E138" s="5" t="inlineStr">
        <is>
          <t>M</t>
        </is>
      </c>
      <c r="F138" s="5" t="n">
        <v>2.5</v>
      </c>
      <c r="G138" s="9" t="inlineStr">
        <is>
          <t>P2</t>
        </is>
      </c>
      <c r="H138" s="6" t="inlineStr">
        <is>
          <t>기록 (Records)</t>
        </is>
      </c>
      <c r="I138" s="33" t="inlineStr">
        <is>
          <t>TRA-007 돌봄 전환 계획(복지사+보호자, P2·노년 대비). 참고: docs/01 §6, docs/02 §3 JSONB(TRA-007)</t>
        </is>
      </c>
    </row>
    <row r="139">
      <c r="A139" s="14" t="n">
        <v>5</v>
      </c>
      <c r="B139" s="5" t="inlineStr">
        <is>
          <t>5.F.1</t>
        </is>
      </c>
      <c r="C139" s="6" t="inlineStr">
        <is>
          <t>LEG-001 장애인 증명서(보호자)</t>
        </is>
      </c>
      <c r="D139" s="6" t="inlineStr">
        <is>
          <t>CRUD</t>
        </is>
      </c>
      <c r="E139" s="5" t="inlineStr">
        <is>
          <t>S</t>
        </is>
      </c>
      <c r="F139" s="5" t="n">
        <v>1</v>
      </c>
      <c r="G139" s="7" t="inlineStr">
        <is>
          <t>P0</t>
        </is>
      </c>
      <c r="H139" s="6" t="inlineStr">
        <is>
          <t>기록 (Records)</t>
        </is>
      </c>
      <c r="I139" s="33" t="inlineStr">
        <is>
          <t>LEG-001 장애인 증명서(보호자). 참고: docs/02 §3 JSONB(LEG-001)</t>
        </is>
      </c>
    </row>
    <row r="140">
      <c r="A140" s="14" t="n">
        <v>5</v>
      </c>
      <c r="B140" s="5" t="inlineStr">
        <is>
          <t>5.F.2</t>
        </is>
      </c>
      <c r="C140" s="6" t="inlineStr">
        <is>
          <t>LEG-002 수급 기록(보호자)</t>
        </is>
      </c>
      <c r="D140" s="6" t="inlineStr">
        <is>
          <t>CRUD</t>
        </is>
      </c>
      <c r="E140" s="5" t="inlineStr">
        <is>
          <t>S</t>
        </is>
      </c>
      <c r="F140" s="5" t="n">
        <v>1</v>
      </c>
      <c r="G140" s="7" t="inlineStr">
        <is>
          <t>P0</t>
        </is>
      </c>
      <c r="H140" s="6" t="inlineStr">
        <is>
          <t>기록 (Records)</t>
        </is>
      </c>
      <c r="I140" s="33" t="inlineStr">
        <is>
          <t>LEG-002 수급 기록(보호자). 참고: docs/02 §3 JSONB(LEG-002)</t>
        </is>
      </c>
    </row>
    <row r="141">
      <c r="A141" s="14" t="n">
        <v>5</v>
      </c>
      <c r="B141" s="5" t="inlineStr">
        <is>
          <t>5.F.3</t>
        </is>
      </c>
      <c r="C141" s="6" t="inlineStr">
        <is>
          <t>LEG-003 후견 문서(보호자)</t>
        </is>
      </c>
      <c r="D141" s="6" t="inlineStr">
        <is>
          <t>CRUD</t>
        </is>
      </c>
      <c r="E141" s="5" t="inlineStr">
        <is>
          <t>M</t>
        </is>
      </c>
      <c r="F141" s="5" t="n">
        <v>2.5</v>
      </c>
      <c r="G141" s="7" t="inlineStr">
        <is>
          <t>P0</t>
        </is>
      </c>
      <c r="H141" s="6" t="inlineStr">
        <is>
          <t>기록 (Records)</t>
        </is>
      </c>
      <c r="I141" s="33" t="inlineStr">
        <is>
          <t>LEG-003 후견 문서(보호자). 후견 유형·범위·기간. 참고: docs/01 §4·§5, docs/02 §3 JSONB(LEG-003)</t>
        </is>
      </c>
    </row>
    <row r="142">
      <c r="A142" s="14" t="n">
        <v>5</v>
      </c>
      <c r="B142" s="5" t="inlineStr">
        <is>
          <t>5.F.4</t>
        </is>
      </c>
      <c r="C142" s="6" t="inlineStr">
        <is>
          <t>LEG-004 의사결정 지원 계약(보호자)</t>
        </is>
      </c>
      <c r="D142" s="6" t="inlineStr">
        <is>
          <t>CRUD</t>
        </is>
      </c>
      <c r="E142" s="5" t="inlineStr">
        <is>
          <t>M</t>
        </is>
      </c>
      <c r="F142" s="5" t="n">
        <v>2.5</v>
      </c>
      <c r="G142" s="8" t="inlineStr">
        <is>
          <t>P1</t>
        </is>
      </c>
      <c r="H142" s="6" t="inlineStr">
        <is>
          <t>기록 (Records)</t>
        </is>
      </c>
      <c r="I142" s="33" t="inlineStr">
        <is>
          <t>LEG-004 의사결정 지원 계약(보호자, P1). 참고: docs/02 §3 JSONB(LEG-004)</t>
        </is>
      </c>
    </row>
    <row r="143">
      <c r="A143" s="14" t="n">
        <v>5</v>
      </c>
      <c r="B143" s="5" t="inlineStr">
        <is>
          <t>5.F.5</t>
        </is>
      </c>
      <c r="C143" s="6" t="inlineStr">
        <is>
          <t>LEG-005 노후 돌봄 문서(보호자)</t>
        </is>
      </c>
      <c r="D143" s="6" t="inlineStr">
        <is>
          <t>CRUD</t>
        </is>
      </c>
      <c r="E143" s="5" t="inlineStr">
        <is>
          <t>S</t>
        </is>
      </c>
      <c r="F143" s="5" t="n">
        <v>1</v>
      </c>
      <c r="G143" s="9" t="inlineStr">
        <is>
          <t>P2</t>
        </is>
      </c>
      <c r="H143" s="6" t="inlineStr">
        <is>
          <t>기록 (Records)</t>
        </is>
      </c>
      <c r="I143" s="33" t="inlineStr">
        <is>
          <t>LEG-005 노후 돌봄 문서(보호자, P2). 참고: docs/01 §6, docs/02 §3 JSONB(LEG-005)</t>
        </is>
      </c>
    </row>
    <row r="144">
      <c r="A144" s="15" t="n">
        <v>6</v>
      </c>
      <c r="B144" s="5" t="inlineStr">
        <is>
          <t>6.1</t>
        </is>
      </c>
      <c r="C144" s="6" t="inlineStr">
        <is>
          <t>자기표현 입력 API(Flow-1 5스텝)</t>
        </is>
      </c>
      <c r="D144" s="6" t="inlineStr">
        <is>
          <t>POST /self-expressions</t>
        </is>
      </c>
      <c r="E144" s="5" t="inlineStr">
        <is>
          <t>M</t>
        </is>
      </c>
      <c r="F144" s="5" t="n">
        <v>2.5</v>
      </c>
      <c r="G144" s="7" t="inlineStr">
        <is>
          <t>P0</t>
        </is>
      </c>
      <c r="H144" s="6" t="inlineStr">
        <is>
          <t>자기표현</t>
        </is>
      </c>
      <c r="I144" s="33" t="inlineStr">
        <is>
          <t>당사자 자기표현 입력 5스텝(기분·활동·사진·메모). 날짜별 1건. 참고: docs/06 §6 Flow-1 자기표현, docs/04 §2 당사자, docs/02 §3 JSONB(self_expression), wireframes/web/09-self-expression.svg</t>
        </is>
      </c>
    </row>
    <row r="145">
      <c r="A145" s="15" t="n">
        <v>6</v>
      </c>
      <c r="B145" s="5" t="inlineStr">
        <is>
          <t>6.2</t>
        </is>
      </c>
      <c r="C145" s="6" t="inlineStr">
        <is>
          <t>자기표현 단건 조회(날짜별 UNIQUE)</t>
        </is>
      </c>
      <c r="D145" s="6" t="inlineStr">
        <is>
          <t>GET /self-expressions/:date</t>
        </is>
      </c>
      <c r="E145" s="5" t="inlineStr">
        <is>
          <t>S</t>
        </is>
      </c>
      <c r="F145" s="5" t="n">
        <v>1</v>
      </c>
      <c r="G145" s="7" t="inlineStr">
        <is>
          <t>P0</t>
        </is>
      </c>
      <c r="H145" s="6" t="inlineStr">
        <is>
          <t>자기표현</t>
        </is>
      </c>
      <c r="I145" s="33" t="inlineStr">
        <is>
          <t>특정 날짜 자기표현 단건 조회(오늘 기록 홈). 참고: wireframes/web/08-person-home.svg</t>
        </is>
      </c>
    </row>
    <row r="146">
      <c r="A146" s="15" t="n">
        <v>6</v>
      </c>
      <c r="B146" s="5" t="inlineStr">
        <is>
          <t>6.3</t>
        </is>
      </c>
      <c r="C146" s="6" t="inlineStr">
        <is>
          <t>자기표현 목록(월·주 단위)</t>
        </is>
      </c>
      <c r="D146" s="6" t="inlineStr">
        <is>
          <t>GET /self-expressions?month=</t>
        </is>
      </c>
      <c r="E146" s="5" t="inlineStr">
        <is>
          <t>S</t>
        </is>
      </c>
      <c r="F146" s="5" t="n">
        <v>1</v>
      </c>
      <c r="G146" s="7" t="inlineStr">
        <is>
          <t>P0</t>
        </is>
      </c>
      <c r="H146" s="6" t="inlineStr">
        <is>
          <t>자기표현</t>
        </is>
      </c>
      <c r="I146" s="33" t="inlineStr">
        <is>
          <t>월·주 단위 자기표현 목록(캘린더/리스트). 참고: docs/02 §5 인덱스(date)</t>
        </is>
      </c>
    </row>
    <row r="147">
      <c r="A147" s="15" t="n">
        <v>6</v>
      </c>
      <c r="B147" s="5" t="inlineStr">
        <is>
          <t>6.4</t>
        </is>
      </c>
      <c r="C147" s="6" t="inlineStr">
        <is>
          <t>자기표현 수정(당일만)</t>
        </is>
      </c>
      <c r="D147" s="6" t="inlineStr">
        <is>
          <t>PATCH /self-expressions/:id</t>
        </is>
      </c>
      <c r="E147" s="5" t="inlineStr">
        <is>
          <t>S</t>
        </is>
      </c>
      <c r="F147" s="5" t="n">
        <v>1</v>
      </c>
      <c r="G147" s="7" t="inlineStr">
        <is>
          <t>P0</t>
        </is>
      </c>
      <c r="H147" s="6" t="inlineStr">
        <is>
          <t>자기표현</t>
        </is>
      </c>
      <c r="I147" s="33" t="inlineStr">
        <is>
          <t>자기표현 수정(작성 당일만 허용). 참고: docs/03 §RLS(self_expressions)</t>
        </is>
      </c>
    </row>
    <row r="148">
      <c r="A148" s="15" t="n">
        <v>6</v>
      </c>
      <c r="B148" s="5" t="inlineStr">
        <is>
          <t>6.5</t>
        </is>
      </c>
      <c r="C148" s="6" t="inlineStr">
        <is>
          <t>자기표현 사진 업로드</t>
        </is>
      </c>
      <c r="D148" s="6" t="inlineStr">
        <is>
          <t>POST /self-expressions/:id/photo</t>
        </is>
      </c>
      <c r="E148" s="5" t="inlineStr">
        <is>
          <t>S</t>
        </is>
      </c>
      <c r="F148" s="5" t="n">
        <v>1</v>
      </c>
      <c r="G148" s="7" t="inlineStr">
        <is>
          <t>P0</t>
        </is>
      </c>
      <c r="H148" s="6" t="inlineStr">
        <is>
          <t>자기표현</t>
        </is>
      </c>
      <c r="I148" s="33" t="inlineStr">
        <is>
          <t>자기표현 사진 업로드(presigned URL). 참고: docs/05 §5 파일 첨부</t>
        </is>
      </c>
    </row>
    <row r="149">
      <c r="A149" s="15" t="n">
        <v>6</v>
      </c>
      <c r="B149" s="5" t="inlineStr">
        <is>
          <t>6.6</t>
        </is>
      </c>
      <c r="C149" s="6" t="inlineStr">
        <is>
          <t>자기표현 음성 메모 업로드</t>
        </is>
      </c>
      <c r="D149" s="6" t="inlineStr">
        <is>
          <t>POST /self-expressions/:id/voice</t>
        </is>
      </c>
      <c r="E149" s="5" t="inlineStr">
        <is>
          <t>S</t>
        </is>
      </c>
      <c r="F149" s="5" t="n">
        <v>1</v>
      </c>
      <c r="G149" s="8" t="inlineStr">
        <is>
          <t>P1</t>
        </is>
      </c>
      <c r="H149" s="6" t="inlineStr">
        <is>
          <t>자기표현</t>
        </is>
      </c>
      <c r="I149" s="33" t="inlineStr">
        <is>
          <t>자기표현 음성 메모 업로드(P1). 참고: docs/08-wbs.md §16.6.3</t>
        </is>
      </c>
    </row>
    <row r="150">
      <c r="A150" s="15" t="n">
        <v>6</v>
      </c>
      <c r="B150" s="5" t="inlineStr">
        <is>
          <t>6.7</t>
        </is>
      </c>
      <c r="C150" s="6" t="inlineStr">
        <is>
          <t>자기표현 보호자 요약 발송</t>
        </is>
      </c>
      <c r="D150" s="6" t="inlineStr">
        <is>
          <t>notification fn</t>
        </is>
      </c>
      <c r="E150" s="5" t="inlineStr">
        <is>
          <t>S</t>
        </is>
      </c>
      <c r="F150" s="5" t="n">
        <v>1</v>
      </c>
      <c r="G150" s="7" t="inlineStr">
        <is>
          <t>P0</t>
        </is>
      </c>
      <c r="H150" s="6" t="inlineStr">
        <is>
          <t>자기표현</t>
        </is>
      </c>
      <c r="I150" s="33" t="inlineStr">
        <is>
          <t>자기표현 작성 시 보호자 요약 알림 발송. 참고: docs/05 §8 알림, notifications.self_expression_id FK</t>
        </is>
      </c>
    </row>
    <row r="151">
      <c r="A151" s="15" t="n">
        <v>6</v>
      </c>
      <c r="B151" s="5" t="inlineStr">
        <is>
          <t>6.8</t>
        </is>
      </c>
      <c r="C151" s="6" t="inlineStr">
        <is>
          <t>자기표현 통계(연속 일수 등)</t>
        </is>
      </c>
      <c r="D151" s="6" t="inlineStr">
        <is>
          <t>GET /self-expressions/stats</t>
        </is>
      </c>
      <c r="E151" s="5" t="inlineStr">
        <is>
          <t>S</t>
        </is>
      </c>
      <c r="F151" s="5" t="n">
        <v>1</v>
      </c>
      <c r="G151" s="8" t="inlineStr">
        <is>
          <t>P1</t>
        </is>
      </c>
      <c r="H151" s="6" t="inlineStr">
        <is>
          <t>자기표현</t>
        </is>
      </c>
      <c r="I151" s="33" t="inlineStr">
        <is>
          <t>연속 입력 일수 등 자기표현 통계(P1).</t>
        </is>
      </c>
    </row>
    <row r="152">
      <c r="A152" s="16" t="n">
        <v>7</v>
      </c>
      <c r="B152" s="5" t="inlineStr">
        <is>
          <t>7.1</t>
        </is>
      </c>
      <c r="C152" s="6" t="inlineStr">
        <is>
          <t>Presigned URL 발급</t>
        </is>
      </c>
      <c r="D152" s="6" t="inlineStr">
        <is>
          <t>POST /files/presign</t>
        </is>
      </c>
      <c r="E152" s="5" t="inlineStr">
        <is>
          <t>S</t>
        </is>
      </c>
      <c r="F152" s="5" t="n">
        <v>1</v>
      </c>
      <c r="G152" s="7" t="inlineStr">
        <is>
          <t>P0</t>
        </is>
      </c>
      <c r="H152" s="6" t="inlineStr">
        <is>
          <t>파일 첨부</t>
        </is>
      </c>
      <c r="I152" s="33" t="inlineStr">
        <is>
          <t>Presigned URL 발급(업로드용). 참고: docs/05 §5 파일 첨부 프로세스, bkit:bkend-storage 스킬</t>
        </is>
      </c>
    </row>
    <row r="153">
      <c r="A153" s="16" t="n">
        <v>7</v>
      </c>
      <c r="B153" s="5" t="inlineStr">
        <is>
          <t>7.2</t>
        </is>
      </c>
      <c r="C153" s="6" t="inlineStr">
        <is>
          <t>파일 메타데이터 등록</t>
        </is>
      </c>
      <c r="D153" s="6" t="inlineStr">
        <is>
          <t>POST /files</t>
        </is>
      </c>
      <c r="E153" s="5" t="inlineStr">
        <is>
          <t>S</t>
        </is>
      </c>
      <c r="F153" s="5" t="n">
        <v>1</v>
      </c>
      <c r="G153" s="7" t="inlineStr">
        <is>
          <t>P0</t>
        </is>
      </c>
      <c r="H153" s="6" t="inlineStr">
        <is>
          <t>파일 첨부</t>
        </is>
      </c>
      <c r="I153" s="33" t="inlineStr">
        <is>
          <t>업로드 완료 후 record_files 메타데이터 등록. 참고: docs/02 §2(record_files)</t>
        </is>
      </c>
    </row>
    <row r="154">
      <c r="A154" s="16" t="n">
        <v>7</v>
      </c>
      <c r="B154" s="5" t="inlineStr">
        <is>
          <t>7.3</t>
        </is>
      </c>
      <c r="C154" s="6" t="inlineStr">
        <is>
          <t>파일 단건 조회(다운로드 URL)</t>
        </is>
      </c>
      <c r="D154" s="6" t="inlineStr">
        <is>
          <t>GET /files/:id</t>
        </is>
      </c>
      <c r="E154" s="5" t="inlineStr">
        <is>
          <t>S</t>
        </is>
      </c>
      <c r="F154" s="5" t="n">
        <v>1</v>
      </c>
      <c r="G154" s="7" t="inlineStr">
        <is>
          <t>P0</t>
        </is>
      </c>
      <c r="H154" s="6" t="inlineStr">
        <is>
          <t>파일 첨부</t>
        </is>
      </c>
      <c r="I154" s="33" t="inlineStr">
        <is>
          <t>파일 단건 조회 + 다운로드 URL(CDN/presigned). 참고: bkit:bkend-storage 스킬</t>
        </is>
      </c>
    </row>
    <row r="155">
      <c r="A155" s="16" t="n">
        <v>7</v>
      </c>
      <c r="B155" s="5" t="inlineStr">
        <is>
          <t>7.4</t>
        </is>
      </c>
      <c r="C155" s="6" t="inlineStr">
        <is>
          <t>기록별 파일 목록</t>
        </is>
      </c>
      <c r="D155" s="6" t="inlineStr">
        <is>
          <t>GET /records/:id/files</t>
        </is>
      </c>
      <c r="E155" s="5" t="inlineStr">
        <is>
          <t>XS</t>
        </is>
      </c>
      <c r="F155" s="5" t="n">
        <v>0.5</v>
      </c>
      <c r="G155" s="7" t="inlineStr">
        <is>
          <t>P0</t>
        </is>
      </c>
      <c r="H155" s="6" t="inlineStr">
        <is>
          <t>파일 첨부</t>
        </is>
      </c>
      <c r="I155" s="33" t="inlineStr">
        <is>
          <t>특정 기록의 첨부 파일 목록.</t>
        </is>
      </c>
    </row>
    <row r="156">
      <c r="A156" s="16" t="n">
        <v>7</v>
      </c>
      <c r="B156" s="5" t="inlineStr">
        <is>
          <t>7.5</t>
        </is>
      </c>
      <c r="C156" s="6" t="inlineStr">
        <is>
          <t>자기표현별 파일 목록</t>
        </is>
      </c>
      <c r="D156" s="6" t="inlineStr">
        <is>
          <t>GET /self-expressions/:id/files</t>
        </is>
      </c>
      <c r="E156" s="5" t="inlineStr">
        <is>
          <t>XS</t>
        </is>
      </c>
      <c r="F156" s="5" t="n">
        <v>0.5</v>
      </c>
      <c r="G156" s="7" t="inlineStr">
        <is>
          <t>P0</t>
        </is>
      </c>
      <c r="H156" s="6" t="inlineStr">
        <is>
          <t>파일 첨부</t>
        </is>
      </c>
      <c r="I156" s="33" t="inlineStr">
        <is>
          <t>특정 자기표현의 첨부 파일 목록.</t>
        </is>
      </c>
    </row>
    <row r="157">
      <c r="A157" s="16" t="n">
        <v>7</v>
      </c>
      <c r="B157" s="5" t="inlineStr">
        <is>
          <t>7.6</t>
        </is>
      </c>
      <c r="C157" s="6" t="inlineStr">
        <is>
          <t>파일 메타 수정(제목/민감도)</t>
        </is>
      </c>
      <c r="D157" s="6" t="inlineStr">
        <is>
          <t>PATCH /files/:id</t>
        </is>
      </c>
      <c r="E157" s="5" t="inlineStr">
        <is>
          <t>XS</t>
        </is>
      </c>
      <c r="F157" s="5" t="n">
        <v>0.5</v>
      </c>
      <c r="G157" s="7" t="inlineStr">
        <is>
          <t>P0</t>
        </is>
      </c>
      <c r="H157" s="6" t="inlineStr">
        <is>
          <t>파일 첨부</t>
        </is>
      </c>
      <c r="I157" s="33" t="inlineStr">
        <is>
          <t>파일 메타 수정(제목·민감도 sensitivity). 참고: docs/02 §4 Enum(sensitivity)</t>
        </is>
      </c>
    </row>
    <row r="158">
      <c r="A158" s="16" t="n">
        <v>7</v>
      </c>
      <c r="B158" s="5" t="inlineStr">
        <is>
          <t>7.7</t>
        </is>
      </c>
      <c r="C158" s="6" t="inlineStr">
        <is>
          <t>파일 삭제(storage + meta)</t>
        </is>
      </c>
      <c r="D158" s="6" t="inlineStr">
        <is>
          <t>DELETE /files/:id</t>
        </is>
      </c>
      <c r="E158" s="5" t="inlineStr">
        <is>
          <t>S</t>
        </is>
      </c>
      <c r="F158" s="5" t="n">
        <v>1</v>
      </c>
      <c r="G158" s="7" t="inlineStr">
        <is>
          <t>P0</t>
        </is>
      </c>
      <c r="H158" s="6" t="inlineStr">
        <is>
          <t>파일 첨부</t>
        </is>
      </c>
      <c r="I158" s="33" t="inlineStr">
        <is>
          <t>파일 삭제(스토리지 객체 + 메타 동시).</t>
        </is>
      </c>
    </row>
    <row r="159">
      <c r="A159" s="16" t="n">
        <v>7</v>
      </c>
      <c r="B159" s="5" t="inlineStr">
        <is>
          <t>7.8</t>
        </is>
      </c>
      <c r="C159" s="6" t="inlineStr">
        <is>
          <t>민감 파일 추가 인증(응급 정보)</t>
        </is>
      </c>
      <c r="D159" s="6" t="inlineStr">
        <is>
          <t>middleware</t>
        </is>
      </c>
      <c r="E159" s="5" t="inlineStr">
        <is>
          <t>M</t>
        </is>
      </c>
      <c r="F159" s="5" t="n">
        <v>2.5</v>
      </c>
      <c r="G159" s="7" t="inlineStr">
        <is>
          <t>P0</t>
        </is>
      </c>
      <c r="H159" s="6" t="inlineStr">
        <is>
          <t>파일 첨부</t>
        </is>
      </c>
      <c r="I159" s="33" t="inlineStr">
        <is>
          <t>민감 파일(응급정보 등) 다운로드 시 추가 인증 미들웨어. 참고: docs/05 §11 보안 흐름, docs/08-wbs.md §17.2.5</t>
        </is>
      </c>
    </row>
    <row r="160">
      <c r="A160" s="16" t="n">
        <v>7</v>
      </c>
      <c r="B160" s="5" t="inlineStr">
        <is>
          <t>7.9</t>
        </is>
      </c>
      <c r="C160" s="6" t="inlineStr">
        <is>
          <t>파일 바이러스 스캔(옵션)</t>
        </is>
      </c>
      <c r="D160" s="6" t="inlineStr">
        <is>
          <t>edge function</t>
        </is>
      </c>
      <c r="E160" s="5" t="inlineStr">
        <is>
          <t>M</t>
        </is>
      </c>
      <c r="F160" s="5" t="n">
        <v>2.5</v>
      </c>
      <c r="G160" s="9" t="inlineStr">
        <is>
          <t>P2</t>
        </is>
      </c>
      <c r="H160" s="6" t="inlineStr">
        <is>
          <t>파일 첨부</t>
        </is>
      </c>
      <c r="I160" s="33" t="inlineStr">
        <is>
          <t>업로드 파일 바이러스 스캔 edge function(P2).</t>
        </is>
      </c>
    </row>
    <row r="161">
      <c r="A161" s="17" t="n">
        <v>8</v>
      </c>
      <c r="B161" s="5" t="inlineStr">
        <is>
          <t>8.1.1</t>
        </is>
      </c>
      <c r="C161" s="6" t="inlineStr">
        <is>
          <t>이정표 추가</t>
        </is>
      </c>
      <c r="D161" s="6" t="inlineStr">
        <is>
          <t>POST /milestones</t>
        </is>
      </c>
      <c r="E161" s="5" t="inlineStr">
        <is>
          <t>S</t>
        </is>
      </c>
      <c r="F161" s="5" t="n">
        <v>1</v>
      </c>
      <c r="G161" s="7" t="inlineStr">
        <is>
          <t>P0</t>
        </is>
      </c>
      <c r="H161" s="6" t="inlineStr">
        <is>
          <t>이정표·타임라인</t>
        </is>
      </c>
      <c r="I161" s="33" t="inlineStr">
        <is>
          <t>이정표 추가(진단·입학·졸업·취업 등). category·event_date. 참고: docs/02 §2(life_milestones), docs/01-record-matrix.md</t>
        </is>
      </c>
    </row>
    <row r="162">
      <c r="A162" s="17" t="n">
        <v>8</v>
      </c>
      <c r="B162" s="5" t="inlineStr">
        <is>
          <t>8.1.2</t>
        </is>
      </c>
      <c r="C162" s="6" t="inlineStr">
        <is>
          <t>이정표 단건 조회</t>
        </is>
      </c>
      <c r="D162" s="6" t="inlineStr">
        <is>
          <t>GET /milestones/:id</t>
        </is>
      </c>
      <c r="E162" s="5" t="inlineStr">
        <is>
          <t>XS</t>
        </is>
      </c>
      <c r="F162" s="5" t="n">
        <v>0.5</v>
      </c>
      <c r="G162" s="7" t="inlineStr">
        <is>
          <t>P0</t>
        </is>
      </c>
      <c r="H162" s="6" t="inlineStr">
        <is>
          <t>이정표·타임라인</t>
        </is>
      </c>
      <c r="I162" s="33" t="inlineStr">
        <is>
          <t>이정표 단건 조회.</t>
        </is>
      </c>
    </row>
    <row r="163">
      <c r="A163" s="17" t="n">
        <v>8</v>
      </c>
      <c r="B163" s="5" t="inlineStr">
        <is>
          <t>8.1.3</t>
        </is>
      </c>
      <c r="C163" s="6" t="inlineStr">
        <is>
          <t>당사자별 이정표 목록</t>
        </is>
      </c>
      <c r="D163" s="6" t="inlineStr">
        <is>
          <t>GET /persons/:id/milestones</t>
        </is>
      </c>
      <c r="E163" s="5" t="inlineStr">
        <is>
          <t>S</t>
        </is>
      </c>
      <c r="F163" s="5" t="n">
        <v>1</v>
      </c>
      <c r="G163" s="7" t="inlineStr">
        <is>
          <t>P0</t>
        </is>
      </c>
      <c r="H163" s="6" t="inlineStr">
        <is>
          <t>이정표·타임라인</t>
        </is>
      </c>
      <c r="I163" s="33" t="inlineStr">
        <is>
          <t>당사자별 이정표 목록.</t>
        </is>
      </c>
    </row>
    <row r="164">
      <c r="A164" s="17" t="n">
        <v>8</v>
      </c>
      <c r="B164" s="5" t="inlineStr">
        <is>
          <t>8.1.4</t>
        </is>
      </c>
      <c r="C164" s="6" t="inlineStr">
        <is>
          <t>이정표 수정</t>
        </is>
      </c>
      <c r="D164" s="6" t="inlineStr">
        <is>
          <t>PATCH /milestones/:id</t>
        </is>
      </c>
      <c r="E164" s="5" t="inlineStr">
        <is>
          <t>XS</t>
        </is>
      </c>
      <c r="F164" s="5" t="n">
        <v>0.5</v>
      </c>
      <c r="G164" s="7" t="inlineStr">
        <is>
          <t>P0</t>
        </is>
      </c>
      <c r="H164" s="6" t="inlineStr">
        <is>
          <t>이정표·타임라인</t>
        </is>
      </c>
      <c r="I164" s="33" t="inlineStr">
        <is>
          <t>이정표 수정.</t>
        </is>
      </c>
    </row>
    <row r="165">
      <c r="A165" s="17" t="n">
        <v>8</v>
      </c>
      <c r="B165" s="5" t="inlineStr">
        <is>
          <t>8.1.5</t>
        </is>
      </c>
      <c r="C165" s="6" t="inlineStr">
        <is>
          <t>이정표 삭제</t>
        </is>
      </c>
      <c r="D165" s="6" t="inlineStr">
        <is>
          <t>DELETE /milestones/:id</t>
        </is>
      </c>
      <c r="E165" s="5" t="inlineStr">
        <is>
          <t>XS</t>
        </is>
      </c>
      <c r="F165" s="5" t="n">
        <v>0.5</v>
      </c>
      <c r="G165" s="7" t="inlineStr">
        <is>
          <t>P0</t>
        </is>
      </c>
      <c r="H165" s="6" t="inlineStr">
        <is>
          <t>이정표·타임라인</t>
        </is>
      </c>
      <c r="I165" s="33" t="inlineStr">
        <is>
          <t>이정표 삭제.</t>
        </is>
      </c>
    </row>
    <row r="166">
      <c r="A166" s="17" t="n">
        <v>8</v>
      </c>
      <c r="B166" s="5" t="inlineStr">
        <is>
          <t>8.1.6</t>
        </is>
      </c>
      <c r="C166" s="6" t="inlineStr">
        <is>
          <t>카테고리별 이정표 필터</t>
        </is>
      </c>
      <c r="D166" s="6" t="inlineStr">
        <is>
          <t>GET /milestones?category=</t>
        </is>
      </c>
      <c r="E166" s="5" t="inlineStr">
        <is>
          <t>XS</t>
        </is>
      </c>
      <c r="F166" s="5" t="n">
        <v>0.5</v>
      </c>
      <c r="G166" s="7" t="inlineStr">
        <is>
          <t>P0</t>
        </is>
      </c>
      <c r="H166" s="6" t="inlineStr">
        <is>
          <t>이정표·타임라인</t>
        </is>
      </c>
      <c r="I166" s="33" t="inlineStr">
        <is>
          <t>카테고리별 이정표 필터.</t>
        </is>
      </c>
    </row>
    <row r="167">
      <c r="A167" s="17" t="n">
        <v>8</v>
      </c>
      <c r="B167" s="5" t="inlineStr">
        <is>
          <t>8.2.1</t>
        </is>
      </c>
      <c r="C167" s="6" t="inlineStr">
        <is>
          <t>통합 타임라인 조회(시간 역순)</t>
        </is>
      </c>
      <c r="D167" s="6" t="inlineStr">
        <is>
          <t>GET /persons/:id/timeline</t>
        </is>
      </c>
      <c r="E167" s="5" t="inlineStr">
        <is>
          <t>M</t>
        </is>
      </c>
      <c r="F167" s="5" t="n">
        <v>2.5</v>
      </c>
      <c r="G167" s="7" t="inlineStr">
        <is>
          <t>P0</t>
        </is>
      </c>
      <c r="H167" s="6" t="inlineStr">
        <is>
          <t>이정표·타임라인</t>
        </is>
      </c>
      <c r="I167" s="33" t="inlineStr">
        <is>
          <t>records+milestones+self_expressions 통합 타임라인(시간 역순). 참고: docs/05 §6 생애주기 타임라인 조회, wireframes/web/03-timeline.svg</t>
        </is>
      </c>
    </row>
    <row r="168">
      <c r="A168" s="17" t="n">
        <v>8</v>
      </c>
      <c r="B168" s="5" t="inlineStr">
        <is>
          <t>8.2.2</t>
        </is>
      </c>
      <c r="C168" s="6" t="inlineStr">
        <is>
          <t>분야별 필터</t>
        </is>
      </c>
      <c r="D168" s="6" t="inlineStr">
        <is>
          <t>?domain=</t>
        </is>
      </c>
      <c r="E168" s="5" t="inlineStr">
        <is>
          <t>S</t>
        </is>
      </c>
      <c r="F168" s="5" t="n">
        <v>1</v>
      </c>
      <c r="G168" s="7" t="inlineStr">
        <is>
          <t>P0</t>
        </is>
      </c>
      <c r="H168" s="6" t="inlineStr">
        <is>
          <t>이정표·타임라인</t>
        </is>
      </c>
      <c r="I168" s="33" t="inlineStr">
        <is>
          <t>타임라인 도메인 필터. 참고: docs/07 §1 도메인 컬러</t>
        </is>
      </c>
    </row>
    <row r="169">
      <c r="A169" s="17" t="n">
        <v>8</v>
      </c>
      <c r="B169" s="5" t="inlineStr">
        <is>
          <t>8.2.3</t>
        </is>
      </c>
      <c r="C169" s="6" t="inlineStr">
        <is>
          <t>생애주기별 필터</t>
        </is>
      </c>
      <c r="D169" s="6" t="inlineStr">
        <is>
          <t>?life_stage=</t>
        </is>
      </c>
      <c r="E169" s="5" t="inlineStr">
        <is>
          <t>S</t>
        </is>
      </c>
      <c r="F169" s="5" t="n">
        <v>1</v>
      </c>
      <c r="G169" s="7" t="inlineStr">
        <is>
          <t>P0</t>
        </is>
      </c>
      <c r="H169" s="6" t="inlineStr">
        <is>
          <t>이정표·타임라인</t>
        </is>
      </c>
      <c r="I169" s="33" t="inlineStr">
        <is>
          <t>생애주기(life_stage)별 필터. 참고: docs/02 §4 Enum(life_stage)</t>
        </is>
      </c>
    </row>
    <row r="170">
      <c r="A170" s="17" t="n">
        <v>8</v>
      </c>
      <c r="B170" s="5" t="inlineStr">
        <is>
          <t>8.2.4</t>
        </is>
      </c>
      <c r="C170" s="6" t="inlineStr">
        <is>
          <t>날짜 범위 필터</t>
        </is>
      </c>
      <c r="D170" s="6" t="inlineStr">
        <is>
          <t>?from=&amp;to=</t>
        </is>
      </c>
      <c r="E170" s="5" t="inlineStr">
        <is>
          <t>XS</t>
        </is>
      </c>
      <c r="F170" s="5" t="n">
        <v>0.5</v>
      </c>
      <c r="G170" s="7" t="inlineStr">
        <is>
          <t>P0</t>
        </is>
      </c>
      <c r="H170" s="6" t="inlineStr">
        <is>
          <t>이정표·타임라인</t>
        </is>
      </c>
      <c r="I170" s="33" t="inlineStr">
        <is>
          <t>날짜 범위 필터.</t>
        </is>
      </c>
    </row>
    <row r="171">
      <c r="A171" s="17" t="n">
        <v>8</v>
      </c>
      <c r="B171" s="5" t="inlineStr">
        <is>
          <t>8.2.5</t>
        </is>
      </c>
      <c r="C171" s="6" t="inlineStr">
        <is>
          <t>이정표만 보기</t>
        </is>
      </c>
      <c r="D171" s="6" t="inlineStr">
        <is>
          <t>?milestones_only=true</t>
        </is>
      </c>
      <c r="E171" s="5" t="inlineStr">
        <is>
          <t>XS</t>
        </is>
      </c>
      <c r="F171" s="5" t="n">
        <v>0.5</v>
      </c>
      <c r="G171" s="7" t="inlineStr">
        <is>
          <t>P0</t>
        </is>
      </c>
      <c r="H171" s="6" t="inlineStr">
        <is>
          <t>이정표·타임라인</t>
        </is>
      </c>
      <c r="I171" s="33" t="inlineStr">
        <is>
          <t>이정표만 필터링.</t>
        </is>
      </c>
    </row>
    <row r="172">
      <c r="A172" s="17" t="n">
        <v>8</v>
      </c>
      <c r="B172" s="5" t="inlineStr">
        <is>
          <t>8.2.6</t>
        </is>
      </c>
      <c r="C172" s="6" t="inlineStr">
        <is>
          <t>작성자별 필터</t>
        </is>
      </c>
      <c r="D172" s="6" t="inlineStr">
        <is>
          <t>?author=</t>
        </is>
      </c>
      <c r="E172" s="5" t="inlineStr">
        <is>
          <t>XS</t>
        </is>
      </c>
      <c r="F172" s="5" t="n">
        <v>0.5</v>
      </c>
      <c r="G172" s="8" t="inlineStr">
        <is>
          <t>P1</t>
        </is>
      </c>
      <c r="H172" s="6" t="inlineStr">
        <is>
          <t>이정표·타임라인</t>
        </is>
      </c>
      <c r="I172" s="33" t="inlineStr">
        <is>
          <t>작성자별 필터(P1).</t>
        </is>
      </c>
    </row>
    <row r="173">
      <c r="A173" s="17" t="n">
        <v>8</v>
      </c>
      <c r="B173" s="5" t="inlineStr">
        <is>
          <t>8.2.7</t>
        </is>
      </c>
      <c r="C173" s="6" t="inlineStr">
        <is>
          <t>타임라인 PDF 내보내기</t>
        </is>
      </c>
      <c r="D173" s="6" t="inlineStr">
        <is>
          <t>POST /timeline/export</t>
        </is>
      </c>
      <c r="E173" s="5" t="inlineStr">
        <is>
          <t>M</t>
        </is>
      </c>
      <c r="F173" s="5" t="n">
        <v>2.5</v>
      </c>
      <c r="G173" s="8" t="inlineStr">
        <is>
          <t>P1</t>
        </is>
      </c>
      <c r="H173" s="6" t="inlineStr">
        <is>
          <t>이정표·타임라인</t>
        </is>
      </c>
      <c r="I173" s="33" t="inlineStr">
        <is>
          <t>타임라인 PDF 내보내기(P1). 참고: docs/05 §6</t>
        </is>
      </c>
    </row>
    <row r="174">
      <c r="A174" s="17" t="n">
        <v>8</v>
      </c>
      <c r="B174" s="5" t="inlineStr">
        <is>
          <t>8.2.8</t>
        </is>
      </c>
      <c r="C174" s="6" t="inlineStr">
        <is>
          <t>생애주기 자동 마커(트리거)</t>
        </is>
      </c>
      <c r="D174" s="6" t="inlineStr">
        <is>
          <t>DB trigger</t>
        </is>
      </c>
      <c r="E174" s="5" t="inlineStr">
        <is>
          <t>S</t>
        </is>
      </c>
      <c r="F174" s="5" t="n">
        <v>1</v>
      </c>
      <c r="G174" s="7" t="inlineStr">
        <is>
          <t>P0</t>
        </is>
      </c>
      <c r="H174" s="6" t="inlineStr">
        <is>
          <t>이정표·타임라인</t>
        </is>
      </c>
      <c r="I174" s="33" t="inlineStr">
        <is>
          <t>생애주기 전환 시 자동 마커 삽입 트리거. 참고: docs/05 §10 당사자 전환기 처리</t>
        </is>
      </c>
    </row>
    <row r="175">
      <c r="A175" s="18" t="n">
        <v>9</v>
      </c>
      <c r="B175" s="5" t="inlineStr">
        <is>
          <t>9.1.1</t>
        </is>
      </c>
      <c r="C175" s="6" t="inlineStr">
        <is>
          <t>인수인계 생성(Flow-6 4스텝)</t>
        </is>
      </c>
      <c r="D175" s="6" t="inlineStr">
        <is>
          <t>POST /handovers</t>
        </is>
      </c>
      <c r="E175" s="5" t="inlineStr">
        <is>
          <t>M</t>
        </is>
      </c>
      <c r="F175" s="5" t="n">
        <v>2.5</v>
      </c>
      <c r="G175" s="7" t="inlineStr">
        <is>
          <t>P0</t>
        </is>
      </c>
      <c r="H175" s="6" t="inlineStr">
        <is>
          <t>인수인계</t>
        </is>
      </c>
      <c r="I175" s="33" t="inlineStr">
        <is>
          <t>인수인계 생성 4스텝(분야·기간·요약·연계 기록). 참고: docs/06 §6 Flow-6 인수인계, docs/05 §7 인수인계, docs/02 §2(handovers), wireframes/web/56-worker-handover-create.svg</t>
        </is>
      </c>
    </row>
    <row r="176">
      <c r="A176" s="18" t="n">
        <v>9</v>
      </c>
      <c r="B176" s="5" t="inlineStr">
        <is>
          <t>9.1.2</t>
        </is>
      </c>
      <c r="C176" s="6" t="inlineStr">
        <is>
          <t>인수인계 단건 조회</t>
        </is>
      </c>
      <c r="D176" s="6" t="inlineStr">
        <is>
          <t>GET /handovers/:id</t>
        </is>
      </c>
      <c r="E176" s="5" t="inlineStr">
        <is>
          <t>S</t>
        </is>
      </c>
      <c r="F176" s="5" t="n">
        <v>1</v>
      </c>
      <c r="G176" s="7" t="inlineStr">
        <is>
          <t>P0</t>
        </is>
      </c>
      <c r="H176" s="6" t="inlineStr">
        <is>
          <t>인수인계</t>
        </is>
      </c>
      <c r="I176" s="33" t="inlineStr">
        <is>
          <t>인수인계 상세 조회(연계 기록 포함). 참고: wireframes/web/40-supporter-handover-detail.svg</t>
        </is>
      </c>
    </row>
    <row r="177">
      <c r="A177" s="18" t="n">
        <v>9</v>
      </c>
      <c r="B177" s="5" t="inlineStr">
        <is>
          <t>9.1.3</t>
        </is>
      </c>
      <c r="C177" s="6" t="inlineStr">
        <is>
          <t>받은 인계 목록</t>
        </is>
      </c>
      <c r="D177" s="6" t="inlineStr">
        <is>
          <t>GET /handovers/received</t>
        </is>
      </c>
      <c r="E177" s="5" t="inlineStr">
        <is>
          <t>S</t>
        </is>
      </c>
      <c r="F177" s="5" t="n">
        <v>1</v>
      </c>
      <c r="G177" s="7" t="inlineStr">
        <is>
          <t>P0</t>
        </is>
      </c>
      <c r="H177" s="6" t="inlineStr">
        <is>
          <t>인수인계</t>
        </is>
      </c>
      <c r="I177" s="33" t="inlineStr">
        <is>
          <t>받은 인계 목록. 참고: wireframes/web/39-supporter-handover-list.svg</t>
        </is>
      </c>
    </row>
    <row r="178">
      <c r="A178" s="18" t="n">
        <v>9</v>
      </c>
      <c r="B178" s="5" t="inlineStr">
        <is>
          <t>9.1.4</t>
        </is>
      </c>
      <c r="C178" s="6" t="inlineStr">
        <is>
          <t>전달한 인계 목록</t>
        </is>
      </c>
      <c r="D178" s="6" t="inlineStr">
        <is>
          <t>GET /handovers/sent</t>
        </is>
      </c>
      <c r="E178" s="5" t="inlineStr">
        <is>
          <t>S</t>
        </is>
      </c>
      <c r="F178" s="5" t="n">
        <v>1</v>
      </c>
      <c r="G178" s="7" t="inlineStr">
        <is>
          <t>P0</t>
        </is>
      </c>
      <c r="H178" s="6" t="inlineStr">
        <is>
          <t>인수인계</t>
        </is>
      </c>
      <c r="I178" s="33" t="inlineStr">
        <is>
          <t>전달한 인계 목록.</t>
        </is>
      </c>
    </row>
    <row r="179">
      <c r="A179" s="18" t="n">
        <v>9</v>
      </c>
      <c r="B179" s="5" t="inlineStr">
        <is>
          <t>9.1.5</t>
        </is>
      </c>
      <c r="C179" s="6" t="inlineStr">
        <is>
          <t>인계 수정(미확인 상태에서만)</t>
        </is>
      </c>
      <c r="D179" s="6" t="inlineStr">
        <is>
          <t>PATCH /handovers/:id</t>
        </is>
      </c>
      <c r="E179" s="5" t="inlineStr">
        <is>
          <t>S</t>
        </is>
      </c>
      <c r="F179" s="5" t="n">
        <v>1</v>
      </c>
      <c r="G179" s="7" t="inlineStr">
        <is>
          <t>P0</t>
        </is>
      </c>
      <c r="H179" s="6" t="inlineStr">
        <is>
          <t>인수인계</t>
        </is>
      </c>
      <c r="I179" s="33" t="inlineStr">
        <is>
          <t>인계 수정(미확인 상태에서만). 참고: docs/03 §RLS</t>
        </is>
      </c>
    </row>
    <row r="180">
      <c r="A180" s="18" t="n">
        <v>9</v>
      </c>
      <c r="B180" s="5" t="inlineStr">
        <is>
          <t>9.1.6</t>
        </is>
      </c>
      <c r="C180" s="6" t="inlineStr">
        <is>
          <t>인계 삭제(취소)</t>
        </is>
      </c>
      <c r="D180" s="6" t="inlineStr">
        <is>
          <t>DELETE /handovers/:id</t>
        </is>
      </c>
      <c r="E180" s="5" t="inlineStr">
        <is>
          <t>XS</t>
        </is>
      </c>
      <c r="F180" s="5" t="n">
        <v>0.5</v>
      </c>
      <c r="G180" s="8" t="inlineStr">
        <is>
          <t>P1</t>
        </is>
      </c>
      <c r="H180" s="6" t="inlineStr">
        <is>
          <t>인수인계</t>
        </is>
      </c>
      <c r="I180" s="33" t="inlineStr">
        <is>
          <t>인계 삭제/취소(P1).</t>
        </is>
      </c>
    </row>
    <row r="181">
      <c r="A181" s="18" t="n">
        <v>9</v>
      </c>
      <c r="B181" s="5" t="inlineStr">
        <is>
          <t>9.2.1</t>
        </is>
      </c>
      <c r="C181" s="6" t="inlineStr">
        <is>
          <t>Step1 — 기본 설정(분야·기간·후임자)</t>
        </is>
      </c>
      <c r="D181" s="6" t="inlineStr">
        <is>
          <t>UI step</t>
        </is>
      </c>
      <c r="E181" s="5" t="inlineStr">
        <is>
          <t>S</t>
        </is>
      </c>
      <c r="F181" s="5" t="n">
        <v>1</v>
      </c>
      <c r="G181" s="7" t="inlineStr">
        <is>
          <t>P0</t>
        </is>
      </c>
      <c r="H181" s="6" t="inlineStr">
        <is>
          <t>인수인계</t>
        </is>
      </c>
      <c r="I181" s="33" t="inlineStr">
        <is>
          <t>Step1 — 분야·인계 기간·후임자 지정. 참고: docs/06 §6 Flow-6, wireframes/web/56-worker-handover-create.svg</t>
        </is>
      </c>
    </row>
    <row r="182">
      <c r="A182" s="18" t="n">
        <v>9</v>
      </c>
      <c r="B182" s="5" t="inlineStr">
        <is>
          <t>9.2.2</t>
        </is>
      </c>
      <c r="C182" s="6" t="inlineStr">
        <is>
          <t>Step2 — 핵심 요약·특이사항 태그</t>
        </is>
      </c>
      <c r="D182" s="6" t="inlineStr">
        <is>
          <t>UI step</t>
        </is>
      </c>
      <c r="E182" s="5" t="inlineStr">
        <is>
          <t>S</t>
        </is>
      </c>
      <c r="F182" s="5" t="n">
        <v>1</v>
      </c>
      <c r="G182" s="7" t="inlineStr">
        <is>
          <t>P0</t>
        </is>
      </c>
      <c r="H182" s="6" t="inlineStr">
        <is>
          <t>인수인계</t>
        </is>
      </c>
      <c r="I182" s="33" t="inlineStr">
        <is>
          <t>Step2 — 핵심 요약·특이사항 태그 작성.</t>
        </is>
      </c>
    </row>
    <row r="183">
      <c r="A183" s="18" t="n">
        <v>9</v>
      </c>
      <c r="B183" s="5" t="inlineStr">
        <is>
          <t>9.2.3</t>
        </is>
      </c>
      <c r="C183" s="6" t="inlineStr">
        <is>
          <t>Step3 — 중요 기록 다중 선택</t>
        </is>
      </c>
      <c r="D183" s="6" t="inlineStr">
        <is>
          <t>UI step</t>
        </is>
      </c>
      <c r="E183" s="5" t="inlineStr">
        <is>
          <t>M</t>
        </is>
      </c>
      <c r="F183" s="5" t="n">
        <v>2.5</v>
      </c>
      <c r="G183" s="7" t="inlineStr">
        <is>
          <t>P0</t>
        </is>
      </c>
      <c r="H183" s="6" t="inlineStr">
        <is>
          <t>인수인계</t>
        </is>
      </c>
      <c r="I183" s="33" t="inlineStr">
        <is>
          <t>Step3 — 중요 기록 다중 선택(linked_record_ids).</t>
        </is>
      </c>
    </row>
    <row r="184">
      <c r="A184" s="18" t="n">
        <v>9</v>
      </c>
      <c r="B184" s="5" t="inlineStr">
        <is>
          <t>9.2.4</t>
        </is>
      </c>
      <c r="C184" s="6" t="inlineStr">
        <is>
          <t>Step4 — 미리보기·발송·알림</t>
        </is>
      </c>
      <c r="D184" s="6" t="inlineStr">
        <is>
          <t>UI step + notification</t>
        </is>
      </c>
      <c r="E184" s="5" t="inlineStr">
        <is>
          <t>S</t>
        </is>
      </c>
      <c r="F184" s="5" t="n">
        <v>1</v>
      </c>
      <c r="G184" s="7" t="inlineStr">
        <is>
          <t>P0</t>
        </is>
      </c>
      <c r="H184" s="6" t="inlineStr">
        <is>
          <t>인수인계</t>
        </is>
      </c>
      <c r="I184" s="33" t="inlineStr">
        <is>
          <t>Step4 — 미리보기·발송 + 후임자 알림. 참고: docs/05 §8 알림</t>
        </is>
      </c>
    </row>
    <row r="185">
      <c r="A185" s="18" t="n">
        <v>9</v>
      </c>
      <c r="B185" s="5" t="inlineStr">
        <is>
          <t>9.2.5</t>
        </is>
      </c>
      <c r="C185" s="6" t="inlineStr">
        <is>
          <t>인계 확인 처리(is_confirmed)</t>
        </is>
      </c>
      <c r="D185" s="6" t="inlineStr">
        <is>
          <t>PATCH /handovers/:id/confirm</t>
        </is>
      </c>
      <c r="E185" s="5" t="inlineStr">
        <is>
          <t>S</t>
        </is>
      </c>
      <c r="F185" s="5" t="n">
        <v>1</v>
      </c>
      <c r="G185" s="7" t="inlineStr">
        <is>
          <t>P0</t>
        </is>
      </c>
      <c r="H185" s="6" t="inlineStr">
        <is>
          <t>인수인계</t>
        </is>
      </c>
      <c r="I185" s="33" t="inlineStr">
        <is>
          <t>후임자 인계 확인 처리(is_confirmed). 참고: docs/04 §3 활동지원사</t>
        </is>
      </c>
    </row>
    <row r="186">
      <c r="A186" s="18" t="n">
        <v>9</v>
      </c>
      <c r="B186" s="5" t="inlineStr">
        <is>
          <t>9.2.6</t>
        </is>
      </c>
      <c r="C186" s="6" t="inlineStr">
        <is>
          <t>인계 확인 시 권한 자동 이양(옵션)</t>
        </is>
      </c>
      <c r="D186" s="6" t="inlineStr">
        <is>
          <t>trigger</t>
        </is>
      </c>
      <c r="E186" s="5" t="inlineStr">
        <is>
          <t>M</t>
        </is>
      </c>
      <c r="F186" s="5" t="n">
        <v>2.5</v>
      </c>
      <c r="G186" s="8" t="inlineStr">
        <is>
          <t>P1</t>
        </is>
      </c>
      <c r="H186" s="6" t="inlineStr">
        <is>
          <t>인수인계</t>
        </is>
      </c>
      <c r="I186" s="33" t="inlineStr">
        <is>
          <t>인계 확인 시 권한 자동 이양 트리거(옵션, P1). 참고: docs/05 §7·§2</t>
        </is>
      </c>
    </row>
    <row r="187">
      <c r="A187" s="19" t="n">
        <v>10</v>
      </c>
      <c r="B187" s="5" t="inlineStr">
        <is>
          <t>10.1.1</t>
        </is>
      </c>
      <c r="C187" s="6" t="inlineStr">
        <is>
          <t>알림 생성(이벤트별 자동)</t>
        </is>
      </c>
      <c r="D187" s="6" t="inlineStr">
        <is>
          <t>trigger fn</t>
        </is>
      </c>
      <c r="E187" s="5" t="inlineStr">
        <is>
          <t>M</t>
        </is>
      </c>
      <c r="F187" s="5" t="n">
        <v>2.5</v>
      </c>
      <c r="G187" s="7" t="inlineStr">
        <is>
          <t>P0</t>
        </is>
      </c>
      <c r="H187" s="6" t="inlineStr">
        <is>
          <t>알림</t>
        </is>
      </c>
      <c r="I187" s="33" t="inlineStr">
        <is>
          <t>이벤트별 알림 자동 생성 트리거(기록 작성·권한 변경·인계 등). 참고: docs/05 §8 알림 발송/수신, docs/02 §3 JSONB(notification payload)</t>
        </is>
      </c>
    </row>
    <row r="188">
      <c r="A188" s="19" t="n">
        <v>10</v>
      </c>
      <c r="B188" s="5" t="inlineStr">
        <is>
          <t>10.1.2</t>
        </is>
      </c>
      <c r="C188" s="6" t="inlineStr">
        <is>
          <t>알림 단건 조회</t>
        </is>
      </c>
      <c r="D188" s="6" t="inlineStr">
        <is>
          <t>GET /notifications/:id</t>
        </is>
      </c>
      <c r="E188" s="5" t="inlineStr">
        <is>
          <t>XS</t>
        </is>
      </c>
      <c r="F188" s="5" t="n">
        <v>0.5</v>
      </c>
      <c r="G188" s="7" t="inlineStr">
        <is>
          <t>P0</t>
        </is>
      </c>
      <c r="H188" s="6" t="inlineStr">
        <is>
          <t>알림</t>
        </is>
      </c>
      <c r="I188" s="33" t="inlineStr">
        <is>
          <t>알림 단건 조회.</t>
        </is>
      </c>
    </row>
    <row r="189">
      <c r="A189" s="19" t="n">
        <v>10</v>
      </c>
      <c r="B189" s="5" t="inlineStr">
        <is>
          <t>10.1.3</t>
        </is>
      </c>
      <c r="C189" s="6" t="inlineStr">
        <is>
          <t>사용자별 알림 목록(페이징)</t>
        </is>
      </c>
      <c r="D189" s="6" t="inlineStr">
        <is>
          <t>GET /notifications</t>
        </is>
      </c>
      <c r="E189" s="5" t="inlineStr">
        <is>
          <t>S</t>
        </is>
      </c>
      <c r="F189" s="5" t="n">
        <v>1</v>
      </c>
      <c r="G189" s="7" t="inlineStr">
        <is>
          <t>P0</t>
        </is>
      </c>
      <c r="H189" s="6" t="inlineStr">
        <is>
          <t>알림</t>
        </is>
      </c>
      <c r="I189" s="33" t="inlineStr">
        <is>
          <t>사용자별 알림 목록(페이징). 참고: wireframes/web/23-guardian-notifications.svg</t>
        </is>
      </c>
    </row>
    <row r="190">
      <c r="A190" s="19" t="n">
        <v>10</v>
      </c>
      <c r="B190" s="5" t="inlineStr">
        <is>
          <t>10.1.4</t>
        </is>
      </c>
      <c r="C190" s="6" t="inlineStr">
        <is>
          <t>알림 읽음 처리</t>
        </is>
      </c>
      <c r="D190" s="6" t="inlineStr">
        <is>
          <t>PATCH /notifications/:id/read</t>
        </is>
      </c>
      <c r="E190" s="5" t="inlineStr">
        <is>
          <t>XS</t>
        </is>
      </c>
      <c r="F190" s="5" t="n">
        <v>0.5</v>
      </c>
      <c r="G190" s="7" t="inlineStr">
        <is>
          <t>P0</t>
        </is>
      </c>
      <c r="H190" s="6" t="inlineStr">
        <is>
          <t>알림</t>
        </is>
      </c>
      <c r="I190" s="33" t="inlineStr">
        <is>
          <t>알림 읽음 처리.</t>
        </is>
      </c>
    </row>
    <row r="191">
      <c r="A191" s="19" t="n">
        <v>10</v>
      </c>
      <c r="B191" s="5" t="inlineStr">
        <is>
          <t>10.1.5</t>
        </is>
      </c>
      <c r="C191" s="6" t="inlineStr">
        <is>
          <t>알림 일괄 읽음 처리</t>
        </is>
      </c>
      <c r="D191" s="6" t="inlineStr">
        <is>
          <t>PATCH /notifications/read-all</t>
        </is>
      </c>
      <c r="E191" s="5" t="inlineStr">
        <is>
          <t>XS</t>
        </is>
      </c>
      <c r="F191" s="5" t="n">
        <v>0.5</v>
      </c>
      <c r="G191" s="7" t="inlineStr">
        <is>
          <t>P0</t>
        </is>
      </c>
      <c r="H191" s="6" t="inlineStr">
        <is>
          <t>알림</t>
        </is>
      </c>
      <c r="I191" s="33" t="inlineStr">
        <is>
          <t>알림 일괄 읽음 처리.</t>
        </is>
      </c>
    </row>
    <row r="192">
      <c r="A192" s="19" t="n">
        <v>10</v>
      </c>
      <c r="B192" s="5" t="inlineStr">
        <is>
          <t>10.1.6</t>
        </is>
      </c>
      <c r="C192" s="6" t="inlineStr">
        <is>
          <t>알림 삭제</t>
        </is>
      </c>
      <c r="D192" s="6" t="inlineStr">
        <is>
          <t>DELETE /notifications/:id</t>
        </is>
      </c>
      <c r="E192" s="5" t="inlineStr">
        <is>
          <t>XS</t>
        </is>
      </c>
      <c r="F192" s="5" t="n">
        <v>0.5</v>
      </c>
      <c r="G192" s="8" t="inlineStr">
        <is>
          <t>P1</t>
        </is>
      </c>
      <c r="H192" s="6" t="inlineStr">
        <is>
          <t>알림</t>
        </is>
      </c>
      <c r="I192" s="33" t="inlineStr">
        <is>
          <t>알림 삭제(P1).</t>
        </is>
      </c>
    </row>
    <row r="193">
      <c r="A193" s="19" t="n">
        <v>10</v>
      </c>
      <c r="B193" s="5" t="inlineStr">
        <is>
          <t>10.2.1</t>
        </is>
      </c>
      <c r="C193" s="6" t="inlineStr">
        <is>
          <t>FCM(앱 푸시) 발송</t>
        </is>
      </c>
      <c r="D193" s="6" t="inlineStr">
        <is>
          <t>edge function</t>
        </is>
      </c>
      <c r="E193" s="5" t="inlineStr">
        <is>
          <t>M</t>
        </is>
      </c>
      <c r="F193" s="5" t="n">
        <v>2.5</v>
      </c>
      <c r="G193" s="7" t="inlineStr">
        <is>
          <t>P0</t>
        </is>
      </c>
      <c r="H193" s="6" t="inlineStr">
        <is>
          <t>알림</t>
        </is>
      </c>
      <c r="I193" s="33" t="inlineStr">
        <is>
          <t>FCM 앱 푸시 발송 edge function. 참고: docs/05 §8, docs/08-wbs.md §16.6.1</t>
        </is>
      </c>
    </row>
    <row r="194">
      <c r="A194" s="19" t="n">
        <v>10</v>
      </c>
      <c r="B194" s="5" t="inlineStr">
        <is>
          <t>10.2.2</t>
        </is>
      </c>
      <c r="C194" s="6" t="inlineStr">
        <is>
          <t>이메일 발송(SendGrid/Resend)</t>
        </is>
      </c>
      <c r="D194" s="6" t="inlineStr">
        <is>
          <t>edge function</t>
        </is>
      </c>
      <c r="E194" s="5" t="inlineStr">
        <is>
          <t>S</t>
        </is>
      </c>
      <c r="F194" s="5" t="n">
        <v>1</v>
      </c>
      <c r="G194" s="7" t="inlineStr">
        <is>
          <t>P0</t>
        </is>
      </c>
      <c r="H194" s="6" t="inlineStr">
        <is>
          <t>알림</t>
        </is>
      </c>
      <c r="I194" s="33" t="inlineStr">
        <is>
          <t>이메일 발송(SendGrid/Resend) edge function. 참고: docs/05 §8</t>
        </is>
      </c>
    </row>
    <row r="195">
      <c r="A195" s="19" t="n">
        <v>10</v>
      </c>
      <c r="B195" s="5" t="inlineStr">
        <is>
          <t>10.2.3</t>
        </is>
      </c>
      <c r="C195" s="6" t="inlineStr">
        <is>
          <t>SMS 발송(응급용)</t>
        </is>
      </c>
      <c r="D195" s="6" t="inlineStr">
        <is>
          <t>edge function</t>
        </is>
      </c>
      <c r="E195" s="5" t="inlineStr">
        <is>
          <t>M</t>
        </is>
      </c>
      <c r="F195" s="5" t="n">
        <v>2.5</v>
      </c>
      <c r="G195" s="8" t="inlineStr">
        <is>
          <t>P1</t>
        </is>
      </c>
      <c r="H195" s="6" t="inlineStr">
        <is>
          <t>알림</t>
        </is>
      </c>
      <c r="I195" s="33" t="inlineStr">
        <is>
          <t>SMS 발송(응급용, P1).</t>
        </is>
      </c>
    </row>
    <row r="196">
      <c r="A196" s="19" t="n">
        <v>10</v>
      </c>
      <c r="B196" s="5" t="inlineStr">
        <is>
          <t>10.2.4</t>
        </is>
      </c>
      <c r="C196" s="6" t="inlineStr">
        <is>
          <t>사용자별 채널 설정 조회</t>
        </is>
      </c>
      <c r="D196" s="6" t="inlineStr">
        <is>
          <t>GET /notification-settings</t>
        </is>
      </c>
      <c r="E196" s="5" t="inlineStr">
        <is>
          <t>XS</t>
        </is>
      </c>
      <c r="F196" s="5" t="n">
        <v>0.5</v>
      </c>
      <c r="G196" s="7" t="inlineStr">
        <is>
          <t>P0</t>
        </is>
      </c>
      <c r="H196" s="6" t="inlineStr">
        <is>
          <t>알림</t>
        </is>
      </c>
      <c r="I196" s="33" t="inlineStr">
        <is>
          <t>사용자별 알림 채널 설정 조회. 참고: wireframes/web/27-guardian-notification-settings.svg</t>
        </is>
      </c>
    </row>
    <row r="197">
      <c r="A197" s="19" t="n">
        <v>10</v>
      </c>
      <c r="B197" s="5" t="inlineStr">
        <is>
          <t>10.2.5</t>
        </is>
      </c>
      <c r="C197" s="6" t="inlineStr">
        <is>
          <t>사용자별 채널 설정 수정</t>
        </is>
      </c>
      <c r="D197" s="6" t="inlineStr">
        <is>
          <t>PATCH /notification-settings</t>
        </is>
      </c>
      <c r="E197" s="5" t="inlineStr">
        <is>
          <t>S</t>
        </is>
      </c>
      <c r="F197" s="5" t="n">
        <v>1</v>
      </c>
      <c r="G197" s="7" t="inlineStr">
        <is>
          <t>P0</t>
        </is>
      </c>
      <c r="H197" s="6" t="inlineStr">
        <is>
          <t>알림</t>
        </is>
      </c>
      <c r="I197" s="33" t="inlineStr">
        <is>
          <t>알림 채널 설정 수정.</t>
        </is>
      </c>
    </row>
    <row r="198">
      <c r="A198" s="19" t="n">
        <v>10</v>
      </c>
      <c r="B198" s="5" t="inlineStr">
        <is>
          <t>10.2.6</t>
        </is>
      </c>
      <c r="C198" s="6" t="inlineStr">
        <is>
          <t>알림 유형별 토글(매트릭스)</t>
        </is>
      </c>
      <c r="D198" s="6" t="inlineStr">
        <is>
          <t>PATCH /notification-settings/types</t>
        </is>
      </c>
      <c r="E198" s="5" t="inlineStr">
        <is>
          <t>S</t>
        </is>
      </c>
      <c r="F198" s="5" t="n">
        <v>1</v>
      </c>
      <c r="G198" s="7" t="inlineStr">
        <is>
          <t>P0</t>
        </is>
      </c>
      <c r="H198" s="6" t="inlineStr">
        <is>
          <t>알림</t>
        </is>
      </c>
      <c r="I198" s="33" t="inlineStr">
        <is>
          <t>알림 유형별 on/off 토글 매트릭스. 참고: wireframes/web/27-guardian-notification-settings.svg</t>
        </is>
      </c>
    </row>
    <row r="199">
      <c r="A199" s="19" t="n">
        <v>10</v>
      </c>
      <c r="B199" s="5" t="inlineStr">
        <is>
          <t>10.2.7</t>
        </is>
      </c>
      <c r="C199" s="6" t="inlineStr">
        <is>
          <t>방해 금지 시간대 설정</t>
        </is>
      </c>
      <c r="D199" s="6" t="inlineStr">
        <is>
          <t>PATCH .../quiet-hours</t>
        </is>
      </c>
      <c r="E199" s="5" t="inlineStr">
        <is>
          <t>S</t>
        </is>
      </c>
      <c r="F199" s="5" t="n">
        <v>1</v>
      </c>
      <c r="G199" s="8" t="inlineStr">
        <is>
          <t>P1</t>
        </is>
      </c>
      <c r="H199" s="6" t="inlineStr">
        <is>
          <t>알림</t>
        </is>
      </c>
      <c r="I199" s="33" t="inlineStr">
        <is>
          <t>방해 금지 시간대 설정(P1).</t>
        </is>
      </c>
    </row>
    <row r="200">
      <c r="A200" s="19" t="n">
        <v>10</v>
      </c>
      <c r="B200" s="5" t="inlineStr">
        <is>
          <t>10.2.8</t>
        </is>
      </c>
      <c r="C200" s="6" t="inlineStr">
        <is>
          <t>푸시 토큰 등록(앱 설치)</t>
        </is>
      </c>
      <c r="D200" s="6" t="inlineStr">
        <is>
          <t>POST /push-tokens</t>
        </is>
      </c>
      <c r="E200" s="5" t="inlineStr">
        <is>
          <t>S</t>
        </is>
      </c>
      <c r="F200" s="5" t="n">
        <v>1</v>
      </c>
      <c r="G200" s="7" t="inlineStr">
        <is>
          <t>P0</t>
        </is>
      </c>
      <c r="H200" s="6" t="inlineStr">
        <is>
          <t>알림</t>
        </is>
      </c>
      <c r="I200" s="33" t="inlineStr">
        <is>
          <t>앱 설치 시 푸시 토큰 등록. 참고: docs/08-wbs.md §16.6.1</t>
        </is>
      </c>
    </row>
    <row r="201">
      <c r="A201" s="20" t="n">
        <v>11</v>
      </c>
      <c r="B201" s="5" t="inlineStr">
        <is>
          <t>11.1</t>
        </is>
      </c>
      <c r="C201" s="6" t="inlineStr">
        <is>
          <t>모든 read 자동 로깅(트리거)</t>
        </is>
      </c>
      <c r="D201" s="6" t="inlineStr">
        <is>
          <t>DB trigger</t>
        </is>
      </c>
      <c r="E201" s="5" t="inlineStr">
        <is>
          <t>M</t>
        </is>
      </c>
      <c r="F201" s="5" t="n">
        <v>2.5</v>
      </c>
      <c r="G201" s="7" t="inlineStr">
        <is>
          <t>P0</t>
        </is>
      </c>
      <c r="H201" s="6" t="inlineStr">
        <is>
          <t>접근 로그</t>
        </is>
      </c>
      <c r="I201" s="33" t="inlineStr">
        <is>
          <t>모든 read 자동 로깅 트리거(누가 무엇을 열람). 참고: docs/02 §2(access_logs), docs/05 §9 접근 로그 조회</t>
        </is>
      </c>
    </row>
    <row r="202">
      <c r="A202" s="20" t="n">
        <v>11</v>
      </c>
      <c r="B202" s="5" t="inlineStr">
        <is>
          <t>11.2</t>
        </is>
      </c>
      <c r="C202" s="6" t="inlineStr">
        <is>
          <t>모든 write 자동 로깅(트리거)</t>
        </is>
      </c>
      <c r="D202" s="6" t="inlineStr">
        <is>
          <t>DB trigger</t>
        </is>
      </c>
      <c r="E202" s="5" t="inlineStr">
        <is>
          <t>S</t>
        </is>
      </c>
      <c r="F202" s="5" t="n">
        <v>1</v>
      </c>
      <c r="G202" s="7" t="inlineStr">
        <is>
          <t>P0</t>
        </is>
      </c>
      <c r="H202" s="6" t="inlineStr">
        <is>
          <t>접근 로그</t>
        </is>
      </c>
      <c r="I202" s="33" t="inlineStr">
        <is>
          <t>모든 write 자동 로깅 트리거. 참고: docs/03 §RLS</t>
        </is>
      </c>
    </row>
    <row r="203">
      <c r="A203" s="20" t="n">
        <v>11</v>
      </c>
      <c r="B203" s="5" t="inlineStr">
        <is>
          <t>11.3</t>
        </is>
      </c>
      <c r="C203" s="6" t="inlineStr">
        <is>
          <t>권한 외 시도 별도 로깅</t>
        </is>
      </c>
      <c r="D203" s="6" t="inlineStr">
        <is>
          <t>trigger</t>
        </is>
      </c>
      <c r="E203" s="5" t="inlineStr">
        <is>
          <t>S</t>
        </is>
      </c>
      <c r="F203" s="5" t="n">
        <v>1</v>
      </c>
      <c r="G203" s="7" t="inlineStr">
        <is>
          <t>P0</t>
        </is>
      </c>
      <c r="H203" s="6" t="inlineStr">
        <is>
          <t>접근 로그</t>
        </is>
      </c>
      <c r="I203" s="33" t="inlineStr">
        <is>
          <t>권한 외 접근 시도 별도 로깅. 참고: docs/05 §11 보안 흐름</t>
        </is>
      </c>
    </row>
    <row r="204">
      <c r="A204" s="20" t="n">
        <v>11</v>
      </c>
      <c r="B204" s="5" t="inlineStr">
        <is>
          <t>11.4</t>
        </is>
      </c>
      <c r="C204" s="6" t="inlineStr">
        <is>
          <t>당사자별 접근 로그 조회</t>
        </is>
      </c>
      <c r="D204" s="6" t="inlineStr">
        <is>
          <t>GET /persons/:id/access-logs</t>
        </is>
      </c>
      <c r="E204" s="5" t="inlineStr">
        <is>
          <t>M</t>
        </is>
      </c>
      <c r="F204" s="5" t="n">
        <v>2.5</v>
      </c>
      <c r="G204" s="7" t="inlineStr">
        <is>
          <t>P0</t>
        </is>
      </c>
      <c r="H204" s="6" t="inlineStr">
        <is>
          <t>접근 로그</t>
        </is>
      </c>
      <c r="I204" s="33" t="inlineStr">
        <is>
          <t>당사자별 접근 로그 조회(보호자 투명성). 참고: docs/05 §9, wireframes/web/22-guardian-access-log.svg</t>
        </is>
      </c>
    </row>
    <row r="205">
      <c r="A205" s="20" t="n">
        <v>11</v>
      </c>
      <c r="B205" s="5" t="inlineStr">
        <is>
          <t>11.5</t>
        </is>
      </c>
      <c r="C205" s="6" t="inlineStr">
        <is>
          <t>접근 로그 필터(날짜·접근자·동작)</t>
        </is>
      </c>
      <c r="D205" s="6" t="inlineStr">
        <is>
          <t>?filter=</t>
        </is>
      </c>
      <c r="E205" s="5" t="inlineStr">
        <is>
          <t>S</t>
        </is>
      </c>
      <c r="F205" s="5" t="n">
        <v>1</v>
      </c>
      <c r="G205" s="7" t="inlineStr">
        <is>
          <t>P0</t>
        </is>
      </c>
      <c r="H205" s="6" t="inlineStr">
        <is>
          <t>접근 로그</t>
        </is>
      </c>
      <c r="I205" s="33" t="inlineStr">
        <is>
          <t>접근 로그 필터(날짜·접근자·동작).</t>
        </is>
      </c>
    </row>
    <row r="206">
      <c r="A206" s="20" t="n">
        <v>11</v>
      </c>
      <c r="B206" s="5" t="inlineStr">
        <is>
          <t>11.6</t>
        </is>
      </c>
      <c r="C206" s="6" t="inlineStr">
        <is>
          <t>이상 활동 자동 감지(rule engine)</t>
        </is>
      </c>
      <c r="D206" s="6" t="inlineStr">
        <is>
          <t>edge function</t>
        </is>
      </c>
      <c r="E206" s="5" t="inlineStr">
        <is>
          <t>M</t>
        </is>
      </c>
      <c r="F206" s="5" t="n">
        <v>2.5</v>
      </c>
      <c r="G206" s="8" t="inlineStr">
        <is>
          <t>P1</t>
        </is>
      </c>
      <c r="H206" s="6" t="inlineStr">
        <is>
          <t>접근 로그</t>
        </is>
      </c>
      <c r="I206" s="33" t="inlineStr">
        <is>
          <t>이상 활동 자동 감지 rule engine(P1). 참고: docs/05 §11</t>
        </is>
      </c>
    </row>
    <row r="207">
      <c r="A207" s="20" t="n">
        <v>11</v>
      </c>
      <c r="B207" s="5" t="inlineStr">
        <is>
          <t>11.7</t>
        </is>
      </c>
      <c r="C207" s="6" t="inlineStr">
        <is>
          <t>로그 CSV 내보내기</t>
        </is>
      </c>
      <c r="D207" s="6" t="inlineStr">
        <is>
          <t>POST /access-logs/export</t>
        </is>
      </c>
      <c r="E207" s="5" t="inlineStr">
        <is>
          <t>S</t>
        </is>
      </c>
      <c r="F207" s="5" t="n">
        <v>1</v>
      </c>
      <c r="G207" s="7" t="inlineStr">
        <is>
          <t>P0</t>
        </is>
      </c>
      <c r="H207" s="6" t="inlineStr">
        <is>
          <t>접근 로그</t>
        </is>
      </c>
      <c r="I207" s="33" t="inlineStr">
        <is>
          <t>접근 로그 CSV 내보내기.</t>
        </is>
      </c>
    </row>
    <row r="208">
      <c r="A208" s="20" t="n">
        <v>11</v>
      </c>
      <c r="B208" s="5" t="inlineStr">
        <is>
          <t>11.8</t>
        </is>
      </c>
      <c r="C208" s="6" t="inlineStr">
        <is>
          <t>월간 보고서 자동 발송(cron)</t>
        </is>
      </c>
      <c r="D208" s="6" t="inlineStr">
        <is>
          <t>scheduled fn</t>
        </is>
      </c>
      <c r="E208" s="5" t="inlineStr">
        <is>
          <t>S</t>
        </is>
      </c>
      <c r="F208" s="5" t="n">
        <v>1</v>
      </c>
      <c r="G208" s="8" t="inlineStr">
        <is>
          <t>P1</t>
        </is>
      </c>
      <c r="H208" s="6" t="inlineStr">
        <is>
          <t>접근 로그</t>
        </is>
      </c>
      <c r="I208" s="33" t="inlineStr">
        <is>
          <t>월간 접근 보고서 자동 발송 cron(P1).</t>
        </is>
      </c>
    </row>
    <row r="209">
      <c r="A209" s="21" t="n">
        <v>12</v>
      </c>
      <c r="B209" s="5" t="inlineStr">
        <is>
          <t>12.1.1</t>
        </is>
      </c>
      <c r="C209" s="6" t="inlineStr">
        <is>
          <t>컬러 토큰(Primary·Domain×6·Status)</t>
        </is>
      </c>
      <c r="D209" s="6" t="inlineStr">
        <is>
          <t>tokens.ts</t>
        </is>
      </c>
      <c r="E209" s="5" t="inlineStr">
        <is>
          <t>S</t>
        </is>
      </c>
      <c r="F209" s="5" t="n">
        <v>1</v>
      </c>
      <c r="G209" s="7" t="inlineStr">
        <is>
          <t>P0</t>
        </is>
      </c>
      <c r="H209" s="6" t="inlineStr">
        <is>
          <t>디자인 시스템</t>
        </is>
      </c>
      <c r="I209" s="33" t="inlineStr">
        <is>
          <t>컬러 토큰(Primary·6 도메인 컬러·Status). 참고: docs/07-design-system.md §1 컬러 시스템, §10 Tailwind 설정</t>
        </is>
      </c>
    </row>
    <row r="210">
      <c r="A210" s="21" t="n">
        <v>12</v>
      </c>
      <c r="B210" s="5" t="inlineStr">
        <is>
          <t>12.1.2</t>
        </is>
      </c>
      <c r="C210" s="6" t="inlineStr">
        <is>
          <t>타이포 토큰(Pretendard 스케일)</t>
        </is>
      </c>
      <c r="D210" s="6" t="inlineStr">
        <is>
          <t>tokens.ts</t>
        </is>
      </c>
      <c r="E210" s="5" t="inlineStr">
        <is>
          <t>XS</t>
        </is>
      </c>
      <c r="F210" s="5" t="n">
        <v>0.5</v>
      </c>
      <c r="G210" s="7" t="inlineStr">
        <is>
          <t>P0</t>
        </is>
      </c>
      <c r="H210" s="6" t="inlineStr">
        <is>
          <t>디자인 시스템</t>
        </is>
      </c>
      <c r="I210" s="33" t="inlineStr">
        <is>
          <t>타이포 토큰(Pretendard 스케일). 참고: docs/07 §2 타이포그래피</t>
        </is>
      </c>
    </row>
    <row r="211">
      <c r="A211" s="21" t="n">
        <v>12</v>
      </c>
      <c r="B211" s="5" t="inlineStr">
        <is>
          <t>12.1.3</t>
        </is>
      </c>
      <c r="C211" s="6" t="inlineStr">
        <is>
          <t>스페이싱·반경·그림자 토큰</t>
        </is>
      </c>
      <c r="D211" s="6" t="inlineStr">
        <is>
          <t>tokens.ts</t>
        </is>
      </c>
      <c r="E211" s="5" t="inlineStr">
        <is>
          <t>XS</t>
        </is>
      </c>
      <c r="F211" s="5" t="n">
        <v>0.5</v>
      </c>
      <c r="G211" s="7" t="inlineStr">
        <is>
          <t>P0</t>
        </is>
      </c>
      <c r="H211" s="6" t="inlineStr">
        <is>
          <t>디자인 시스템</t>
        </is>
      </c>
      <c r="I211" s="33" t="inlineStr">
        <is>
          <t>스페이싱·보더 레디어스·엘리베이션 토큰. 참고: docs/07 §3·§4·§5</t>
        </is>
      </c>
    </row>
    <row r="212">
      <c r="A212" s="21" t="n">
        <v>12</v>
      </c>
      <c r="B212" s="5" t="inlineStr">
        <is>
          <t>12.1.4</t>
        </is>
      </c>
      <c r="C212" s="6" t="inlineStr">
        <is>
          <t>접근성 토큰(큰글씨·고대비)</t>
        </is>
      </c>
      <c r="D212" s="6" t="inlineStr">
        <is>
          <t>tokens-a11y.ts</t>
        </is>
      </c>
      <c r="E212" s="5" t="inlineStr">
        <is>
          <t>S</t>
        </is>
      </c>
      <c r="F212" s="5" t="n">
        <v>1</v>
      </c>
      <c r="G212" s="7" t="inlineStr">
        <is>
          <t>P0</t>
        </is>
      </c>
      <c r="H212" s="6" t="inlineStr">
        <is>
          <t>디자인 시스템</t>
        </is>
      </c>
      <c r="I212" s="33" t="inlineStr">
        <is>
          <t>당사자 접근성 토큰(큰 글씨·고대비). 참고: docs/07 §9 당사자 접근성 모드</t>
        </is>
      </c>
    </row>
    <row r="213">
      <c r="A213" s="21" t="n">
        <v>12</v>
      </c>
      <c r="B213" s="5" t="inlineStr">
        <is>
          <t>12.2.1</t>
        </is>
      </c>
      <c r="C213" s="6" t="inlineStr">
        <is>
          <t>Button(primary/secondary/destructive)</t>
        </is>
      </c>
      <c r="D213" s="6" t="inlineStr">
        <is>
          <t>Button.tsx</t>
        </is>
      </c>
      <c r="E213" s="5" t="inlineStr">
        <is>
          <t>S</t>
        </is>
      </c>
      <c r="F213" s="5" t="n">
        <v>1</v>
      </c>
      <c r="G213" s="7" t="inlineStr">
        <is>
          <t>P0</t>
        </is>
      </c>
      <c r="H213" s="6" t="inlineStr">
        <is>
          <t>디자인 시스템</t>
        </is>
      </c>
      <c r="I213" s="33" t="inlineStr">
        <is>
          <t>Button(primary/secondary/destructive). 참고: docs/07 §8 컴포넌트 라이브러리(Button)</t>
        </is>
      </c>
    </row>
    <row r="214">
      <c r="A214" s="21" t="n">
        <v>12</v>
      </c>
      <c r="B214" s="5" t="inlineStr">
        <is>
          <t>12.2.2</t>
        </is>
      </c>
      <c r="C214" s="6" t="inlineStr">
        <is>
          <t>Input(text/email/password/number)</t>
        </is>
      </c>
      <c r="D214" s="6" t="inlineStr">
        <is>
          <t>Input.tsx</t>
        </is>
      </c>
      <c r="E214" s="5" t="inlineStr">
        <is>
          <t>S</t>
        </is>
      </c>
      <c r="F214" s="5" t="n">
        <v>1</v>
      </c>
      <c r="G214" s="7" t="inlineStr">
        <is>
          <t>P0</t>
        </is>
      </c>
      <c r="H214" s="6" t="inlineStr">
        <is>
          <t>디자인 시스템</t>
        </is>
      </c>
      <c r="I214" s="33" t="inlineStr">
        <is>
          <t>Input(text/email/password/number). 참고: docs/07 §8(Input)</t>
        </is>
      </c>
    </row>
    <row r="215">
      <c r="A215" s="21" t="n">
        <v>12</v>
      </c>
      <c r="B215" s="5" t="inlineStr">
        <is>
          <t>12.2.3</t>
        </is>
      </c>
      <c r="C215" s="6" t="inlineStr">
        <is>
          <t>TextArea</t>
        </is>
      </c>
      <c r="D215" s="6" t="inlineStr">
        <is>
          <t>TextArea.tsx</t>
        </is>
      </c>
      <c r="E215" s="5" t="inlineStr">
        <is>
          <t>XS</t>
        </is>
      </c>
      <c r="F215" s="5" t="n">
        <v>0.5</v>
      </c>
      <c r="G215" s="7" t="inlineStr">
        <is>
          <t>P0</t>
        </is>
      </c>
      <c r="H215" s="6" t="inlineStr">
        <is>
          <t>디자인 시스템</t>
        </is>
      </c>
      <c r="I215" s="33" t="inlineStr">
        <is>
          <t>TextArea. 참고: docs/07 §8</t>
        </is>
      </c>
    </row>
    <row r="216">
      <c r="A216" s="21" t="n">
        <v>12</v>
      </c>
      <c r="B216" s="5" t="inlineStr">
        <is>
          <t>12.2.4</t>
        </is>
      </c>
      <c r="C216" s="6" t="inlineStr">
        <is>
          <t>Select / Dropdown</t>
        </is>
      </c>
      <c r="D216" s="6" t="inlineStr">
        <is>
          <t>Select.tsx</t>
        </is>
      </c>
      <c r="E216" s="5" t="inlineStr">
        <is>
          <t>S</t>
        </is>
      </c>
      <c r="F216" s="5" t="n">
        <v>1</v>
      </c>
      <c r="G216" s="7" t="inlineStr">
        <is>
          <t>P0</t>
        </is>
      </c>
      <c r="H216" s="6" t="inlineStr">
        <is>
          <t>디자인 시스템</t>
        </is>
      </c>
      <c r="I216" s="33" t="inlineStr">
        <is>
          <t>Select/Dropdown. 참고: docs/07 §8</t>
        </is>
      </c>
    </row>
    <row r="217">
      <c r="A217" s="21" t="n">
        <v>12</v>
      </c>
      <c r="B217" s="5" t="inlineStr">
        <is>
          <t>12.2.5</t>
        </is>
      </c>
      <c r="C217" s="6" t="inlineStr">
        <is>
          <t>Checkbox / Radio</t>
        </is>
      </c>
      <c r="D217" s="6" t="inlineStr">
        <is>
          <t>Checkbox.tsx</t>
        </is>
      </c>
      <c r="E217" s="5" t="inlineStr">
        <is>
          <t>XS</t>
        </is>
      </c>
      <c r="F217" s="5" t="n">
        <v>0.5</v>
      </c>
      <c r="G217" s="7" t="inlineStr">
        <is>
          <t>P0</t>
        </is>
      </c>
      <c r="H217" s="6" t="inlineStr">
        <is>
          <t>디자인 시스템</t>
        </is>
      </c>
      <c r="I217" s="33" t="inlineStr">
        <is>
          <t>Checkbox/Radio. 참고: docs/07 §8</t>
        </is>
      </c>
    </row>
    <row r="218">
      <c r="A218" s="21" t="n">
        <v>12</v>
      </c>
      <c r="B218" s="5" t="inlineStr">
        <is>
          <t>12.2.6</t>
        </is>
      </c>
      <c r="C218" s="6" t="inlineStr">
        <is>
          <t>Toggle / Switch</t>
        </is>
      </c>
      <c r="D218" s="6" t="inlineStr">
        <is>
          <t>Toggle.tsx</t>
        </is>
      </c>
      <c r="E218" s="5" t="inlineStr">
        <is>
          <t>XS</t>
        </is>
      </c>
      <c r="F218" s="5" t="n">
        <v>0.5</v>
      </c>
      <c r="G218" s="7" t="inlineStr">
        <is>
          <t>P0</t>
        </is>
      </c>
      <c r="H218" s="6" t="inlineStr">
        <is>
          <t>디자인 시스템</t>
        </is>
      </c>
      <c r="I218" s="33" t="inlineStr">
        <is>
          <t>Toggle/Switch. 참고: docs/07 §8</t>
        </is>
      </c>
    </row>
    <row r="219">
      <c r="A219" s="21" t="n">
        <v>12</v>
      </c>
      <c r="B219" s="5" t="inlineStr">
        <is>
          <t>12.2.7</t>
        </is>
      </c>
      <c r="C219" s="6" t="inlineStr">
        <is>
          <t>Badge(도메인 컬러 6 variant)</t>
        </is>
      </c>
      <c r="D219" s="6" t="inlineStr">
        <is>
          <t>Badge.tsx</t>
        </is>
      </c>
      <c r="E219" s="5" t="inlineStr">
        <is>
          <t>XS</t>
        </is>
      </c>
      <c r="F219" s="5" t="n">
        <v>0.5</v>
      </c>
      <c r="G219" s="7" t="inlineStr">
        <is>
          <t>P0</t>
        </is>
      </c>
      <c r="H219" s="6" t="inlineStr">
        <is>
          <t>디자인 시스템</t>
        </is>
      </c>
      <c r="I219" s="33" t="inlineStr">
        <is>
          <t>Badge(도메인 6 컬러 variant). 참고: docs/07 §1 도메인 컬러·§8</t>
        </is>
      </c>
    </row>
    <row r="220">
      <c r="A220" s="21" t="n">
        <v>12</v>
      </c>
      <c r="B220" s="5" t="inlineStr">
        <is>
          <t>12.2.8</t>
        </is>
      </c>
      <c r="C220" s="6" t="inlineStr">
        <is>
          <t>Avatar</t>
        </is>
      </c>
      <c r="D220" s="6" t="inlineStr">
        <is>
          <t>Avatar.tsx</t>
        </is>
      </c>
      <c r="E220" s="5" t="inlineStr">
        <is>
          <t>XS</t>
        </is>
      </c>
      <c r="F220" s="5" t="n">
        <v>0.5</v>
      </c>
      <c r="G220" s="7" t="inlineStr">
        <is>
          <t>P0</t>
        </is>
      </c>
      <c r="H220" s="6" t="inlineStr">
        <is>
          <t>디자인 시스템</t>
        </is>
      </c>
      <c r="I220" s="33" t="inlineStr">
        <is>
          <t>Avatar. 참고: docs/07 §8</t>
        </is>
      </c>
    </row>
    <row r="221">
      <c r="A221" s="21" t="n">
        <v>12</v>
      </c>
      <c r="B221" s="5" t="inlineStr">
        <is>
          <t>12.3.1</t>
        </is>
      </c>
      <c r="C221" s="6" t="inlineStr">
        <is>
          <t>RecordCard(도메인 컬러+첨부 미리보기)</t>
        </is>
      </c>
      <c r="D221" s="6" t="inlineStr">
        <is>
          <t>RecordCard.tsx</t>
        </is>
      </c>
      <c r="E221" s="5" t="inlineStr">
        <is>
          <t>S</t>
        </is>
      </c>
      <c r="F221" s="5" t="n">
        <v>1</v>
      </c>
      <c r="G221" s="7" t="inlineStr">
        <is>
          <t>P0</t>
        </is>
      </c>
      <c r="H221" s="6" t="inlineStr">
        <is>
          <t>디자인 시스템</t>
        </is>
      </c>
      <c r="I221" s="33" t="inlineStr">
        <is>
          <t>RecordCard(도메인 컬러+첨부 미리보기). 참고: docs/07 §8 컴포넌트 라이브러리(RecordCard)</t>
        </is>
      </c>
    </row>
    <row r="222">
      <c r="A222" s="21" t="n">
        <v>12</v>
      </c>
      <c r="B222" s="5" t="inlineStr">
        <is>
          <t>12.3.2</t>
        </is>
      </c>
      <c r="C222" s="6" t="inlineStr">
        <is>
          <t>PersonCard(당사자 카드)</t>
        </is>
      </c>
      <c r="D222" s="6" t="inlineStr">
        <is>
          <t>PersonCard.tsx</t>
        </is>
      </c>
      <c r="E222" s="5" t="inlineStr">
        <is>
          <t>S</t>
        </is>
      </c>
      <c r="F222" s="5" t="n">
        <v>1</v>
      </c>
      <c r="G222" s="7" t="inlineStr">
        <is>
          <t>P0</t>
        </is>
      </c>
      <c r="H222" s="6" t="inlineStr">
        <is>
          <t>디자인 시스템</t>
        </is>
      </c>
      <c r="I222" s="33" t="inlineStr">
        <is>
          <t>PersonCard(당사자 카드). 참고: docs/07 §8</t>
        </is>
      </c>
    </row>
    <row r="223">
      <c r="A223" s="21" t="n">
        <v>12</v>
      </c>
      <c r="B223" s="5" t="inlineStr">
        <is>
          <t>12.3.3</t>
        </is>
      </c>
      <c r="C223" s="6" t="inlineStr">
        <is>
          <t>NotificationCard(3 type variant)</t>
        </is>
      </c>
      <c r="D223" s="6" t="inlineStr">
        <is>
          <t>NotificationCard.tsx</t>
        </is>
      </c>
      <c r="E223" s="5" t="inlineStr">
        <is>
          <t>S</t>
        </is>
      </c>
      <c r="F223" s="5" t="n">
        <v>1</v>
      </c>
      <c r="G223" s="7" t="inlineStr">
        <is>
          <t>P0</t>
        </is>
      </c>
      <c r="H223" s="6" t="inlineStr">
        <is>
          <t>디자인 시스템</t>
        </is>
      </c>
      <c r="I223" s="33" t="inlineStr">
        <is>
          <t>NotificationCard(3 type variant). 참고: docs/07 §8</t>
        </is>
      </c>
    </row>
    <row r="224">
      <c r="A224" s="21" t="n">
        <v>12</v>
      </c>
      <c r="B224" s="5" t="inlineStr">
        <is>
          <t>12.3.4</t>
        </is>
      </c>
      <c r="C224" s="6" t="inlineStr">
        <is>
          <t>IconSelectorCard(자기표현 전용)</t>
        </is>
      </c>
      <c r="D224" s="6" t="inlineStr">
        <is>
          <t>IconSelectorCard.tsx</t>
        </is>
      </c>
      <c r="E224" s="5" t="inlineStr">
        <is>
          <t>M</t>
        </is>
      </c>
      <c r="F224" s="5" t="n">
        <v>2.5</v>
      </c>
      <c r="G224" s="7" t="inlineStr">
        <is>
          <t>P0</t>
        </is>
      </c>
      <c r="H224" s="6" t="inlineStr">
        <is>
          <t>디자인 시스템</t>
        </is>
      </c>
      <c r="I224" s="33" t="inlineStr">
        <is>
          <t>IconSelectorCard(자기표현 전용, 큰 아이콘). 참고: docs/07 §6 아이콘·§9, docs/06 §6 Flow-1</t>
        </is>
      </c>
    </row>
    <row r="225">
      <c r="A225" s="21" t="n">
        <v>12</v>
      </c>
      <c r="B225" s="5" t="inlineStr">
        <is>
          <t>12.3.5</t>
        </is>
      </c>
      <c r="C225" s="6" t="inlineStr">
        <is>
          <t>StepIndicator(위자드 진행)</t>
        </is>
      </c>
      <c r="D225" s="6" t="inlineStr">
        <is>
          <t>StepIndicator.tsx</t>
        </is>
      </c>
      <c r="E225" s="5" t="inlineStr">
        <is>
          <t>S</t>
        </is>
      </c>
      <c r="F225" s="5" t="n">
        <v>1</v>
      </c>
      <c r="G225" s="7" t="inlineStr">
        <is>
          <t>P0</t>
        </is>
      </c>
      <c r="H225" s="6" t="inlineStr">
        <is>
          <t>디자인 시스템</t>
        </is>
      </c>
      <c r="I225" s="33" t="inlineStr">
        <is>
          <t>StepIndicator(위자드 진행 표시). 참고: docs/07 §8, docs/06 §6 플로우</t>
        </is>
      </c>
    </row>
    <row r="226">
      <c r="A226" s="21" t="n">
        <v>12</v>
      </c>
      <c r="B226" s="5" t="inlineStr">
        <is>
          <t>12.4.1</t>
        </is>
      </c>
      <c r="C226" s="6" t="inlineStr">
        <is>
          <t>웹 Sidebar(240px↔64px 접힘)</t>
        </is>
      </c>
      <c r="D226" s="6" t="inlineStr">
        <is>
          <t>Sidebar.tsx</t>
        </is>
      </c>
      <c r="E226" s="5" t="inlineStr">
        <is>
          <t>M</t>
        </is>
      </c>
      <c r="F226" s="5" t="n">
        <v>2.5</v>
      </c>
      <c r="G226" s="7" t="inlineStr">
        <is>
          <t>P0</t>
        </is>
      </c>
      <c r="H226" s="6" t="inlineStr">
        <is>
          <t>디자인 시스템</t>
        </is>
      </c>
      <c r="I226" s="33" t="inlineStr">
        <is>
          <t>웹 Sidebar(240px↔64px 접힘). 참고: docs/06 §2 내비게이션 패턴, docs/07 §8</t>
        </is>
      </c>
    </row>
    <row r="227">
      <c r="A227" s="21" t="n">
        <v>12</v>
      </c>
      <c r="B227" s="5" t="inlineStr">
        <is>
          <t>12.4.2</t>
        </is>
      </c>
      <c r="C227" s="6" t="inlineStr">
        <is>
          <t>웹 GlobalHeader(검색·알림·프로필)</t>
        </is>
      </c>
      <c r="D227" s="6" t="inlineStr">
        <is>
          <t>Header.tsx</t>
        </is>
      </c>
      <c r="E227" s="5" t="inlineStr">
        <is>
          <t>S</t>
        </is>
      </c>
      <c r="F227" s="5" t="n">
        <v>1</v>
      </c>
      <c r="G227" s="7" t="inlineStr">
        <is>
          <t>P0</t>
        </is>
      </c>
      <c r="H227" s="6" t="inlineStr">
        <is>
          <t>디자인 시스템</t>
        </is>
      </c>
      <c r="I227" s="33" t="inlineStr">
        <is>
          <t>웹 GlobalHeader(검색·알림·프로필). 참고: docs/06 §4 반응형 웹 IA</t>
        </is>
      </c>
    </row>
    <row r="228">
      <c r="A228" s="21" t="n">
        <v>12</v>
      </c>
      <c r="B228" s="5" t="inlineStr">
        <is>
          <t>12.4.3</t>
        </is>
      </c>
      <c r="C228" s="6" t="inlineStr">
        <is>
          <t>모바일 BottomTabBar(역할별 variant)</t>
        </is>
      </c>
      <c r="D228" s="6" t="inlineStr">
        <is>
          <t>TabBar.tsx</t>
        </is>
      </c>
      <c r="E228" s="5" t="inlineStr">
        <is>
          <t>M</t>
        </is>
      </c>
      <c r="F228" s="5" t="n">
        <v>2.5</v>
      </c>
      <c r="G228" s="7" t="inlineStr">
        <is>
          <t>P0</t>
        </is>
      </c>
      <c r="H228" s="6" t="inlineStr">
        <is>
          <t>디자인 시스템</t>
        </is>
      </c>
      <c r="I228" s="33" t="inlineStr">
        <is>
          <t>모바일 BottomTabBar(역할별 variant). 참고: docs/06 §5 모바일 앱 IA, §2 내비게이션</t>
        </is>
      </c>
    </row>
    <row r="229">
      <c r="A229" s="21" t="n">
        <v>12</v>
      </c>
      <c r="B229" s="5" t="inlineStr">
        <is>
          <t>12.4.4</t>
        </is>
      </c>
      <c r="C229" s="6" t="inlineStr">
        <is>
          <t>모바일 NavigationBar(Push 스택용)</t>
        </is>
      </c>
      <c r="D229" s="6" t="inlineStr">
        <is>
          <t>NavBar.tsx</t>
        </is>
      </c>
      <c r="E229" s="5" t="inlineStr">
        <is>
          <t>S</t>
        </is>
      </c>
      <c r="F229" s="5" t="n">
        <v>1</v>
      </c>
      <c r="G229" s="7" t="inlineStr">
        <is>
          <t>P0</t>
        </is>
      </c>
      <c r="H229" s="6" t="inlineStr">
        <is>
          <t>디자인 시스템</t>
        </is>
      </c>
      <c r="I229" s="33" t="inlineStr">
        <is>
          <t>모바일 NavigationBar(Push 스택용). 참고: docs/06 §5</t>
        </is>
      </c>
    </row>
    <row r="230">
      <c r="A230" s="22" t="n">
        <v>13</v>
      </c>
      <c r="B230" s="5" t="inlineStr">
        <is>
          <t>13.1.1</t>
        </is>
      </c>
      <c r="C230" s="6" t="inlineStr">
        <is>
          <t>A-01 로그인</t>
        </is>
      </c>
      <c r="D230" s="6" t="inlineStr">
        <is>
          <t>API 2.2,2.10,2.11</t>
        </is>
      </c>
      <c r="E230" s="5" t="inlineStr">
        <is>
          <t>S</t>
        </is>
      </c>
      <c r="F230" s="5" t="n">
        <v>1</v>
      </c>
      <c r="G230" s="7" t="inlineStr">
        <is>
          <t>P0</t>
        </is>
      </c>
      <c r="H230" s="6" t="inlineStr">
        <is>
          <t>웹 UI — 보호자</t>
        </is>
      </c>
      <c r="I230" s="33" t="inlineStr">
        <is>
          <t>보호자 로그인 화면(이메일·소셜). 참고: docs/06 §4 반응형 웹 IA, wireframes/web/01-login.svg</t>
        </is>
      </c>
    </row>
    <row r="231">
      <c r="A231" s="22" t="n">
        <v>13</v>
      </c>
      <c r="B231" s="5" t="inlineStr">
        <is>
          <t>13.1.2</t>
        </is>
      </c>
      <c r="C231" s="6" t="inlineStr">
        <is>
          <t>A-03 회원가입·역할 선택</t>
        </is>
      </c>
      <c r="D231" s="6" t="inlineStr">
        <is>
          <t>API 2.1</t>
        </is>
      </c>
      <c r="E231" s="5" t="inlineStr">
        <is>
          <t>S</t>
        </is>
      </c>
      <c r="F231" s="5" t="n">
        <v>1</v>
      </c>
      <c r="G231" s="7" t="inlineStr">
        <is>
          <t>P0</t>
        </is>
      </c>
      <c r="H231" s="6" t="inlineStr">
        <is>
          <t>웹 UI — 보호자</t>
        </is>
      </c>
      <c r="I231" s="33" t="inlineStr">
        <is>
          <t>회원가입 역할 선택. 참고: docs/05 §1 온보딩, wireframes/web/11-signup-role.svg</t>
        </is>
      </c>
    </row>
    <row r="232">
      <c r="A232" s="22" t="n">
        <v>13</v>
      </c>
      <c r="B232" s="5" t="inlineStr">
        <is>
          <t>13.1.3</t>
        </is>
      </c>
      <c r="C232" s="6" t="inlineStr">
        <is>
          <t>A-04 회원가입·기본정보</t>
        </is>
      </c>
      <c r="D232" s="6" t="inlineStr">
        <is>
          <t>API 2.1,2.4</t>
        </is>
      </c>
      <c r="E232" s="5" t="inlineStr">
        <is>
          <t>S</t>
        </is>
      </c>
      <c r="F232" s="5" t="n">
        <v>1</v>
      </c>
      <c r="G232" s="7" t="inlineStr">
        <is>
          <t>P0</t>
        </is>
      </c>
      <c r="H232" s="6" t="inlineStr">
        <is>
          <t>웹 UI — 보호자</t>
        </is>
      </c>
      <c r="I232" s="33" t="inlineStr">
        <is>
          <t>회원가입 기본정보 입력. 참고: wireframes/web/12-signup-profile.svg</t>
        </is>
      </c>
    </row>
    <row r="233">
      <c r="A233" s="22" t="n">
        <v>13</v>
      </c>
      <c r="B233" s="5" t="inlineStr">
        <is>
          <t>13.1.4</t>
        </is>
      </c>
      <c r="C233" s="6" t="inlineStr">
        <is>
          <t>A-05 이메일 인증</t>
        </is>
      </c>
      <c r="D233" s="6" t="inlineStr">
        <is>
          <t>API 2.5</t>
        </is>
      </c>
      <c r="E233" s="5" t="inlineStr">
        <is>
          <t>S</t>
        </is>
      </c>
      <c r="F233" s="5" t="n">
        <v>1</v>
      </c>
      <c r="G233" s="7" t="inlineStr">
        <is>
          <t>P0</t>
        </is>
      </c>
      <c r="H233" s="6" t="inlineStr">
        <is>
          <t>웹 UI — 보호자</t>
        </is>
      </c>
      <c r="I233" s="33" t="inlineStr">
        <is>
          <t>이메일 인증 화면. 참고: wireframes/web/13-signup-verify.svg</t>
        </is>
      </c>
    </row>
    <row r="234">
      <c r="A234" s="22" t="n">
        <v>13</v>
      </c>
      <c r="B234" s="5" t="inlineStr">
        <is>
          <t>13.1.5</t>
        </is>
      </c>
      <c r="C234" s="6" t="inlineStr">
        <is>
          <t>A-06 초대 링크 수락</t>
        </is>
      </c>
      <c r="D234" s="6" t="inlineStr">
        <is>
          <t>API 2.9</t>
        </is>
      </c>
      <c r="E234" s="5" t="inlineStr">
        <is>
          <t>M</t>
        </is>
      </c>
      <c r="F234" s="5" t="n">
        <v>2.5</v>
      </c>
      <c r="G234" s="7" t="inlineStr">
        <is>
          <t>P0</t>
        </is>
      </c>
      <c r="H234" s="6" t="inlineStr">
        <is>
          <t>웹 UI — 보호자</t>
        </is>
      </c>
      <c r="I234" s="33" t="inlineStr">
        <is>
          <t>초대 링크 수락 화면. 참고: docs/05 §1, wireframes/web/14-invite-accept.svg</t>
        </is>
      </c>
    </row>
    <row r="235">
      <c r="A235" s="22" t="n">
        <v>13</v>
      </c>
      <c r="B235" s="5" t="inlineStr">
        <is>
          <t>13.1.6</t>
        </is>
      </c>
      <c r="C235" s="6" t="inlineStr">
        <is>
          <t>A-07 비밀번호 재설정</t>
        </is>
      </c>
      <c r="D235" s="6" t="inlineStr">
        <is>
          <t>API 2.6,2.7</t>
        </is>
      </c>
      <c r="E235" s="5" t="inlineStr">
        <is>
          <t>S</t>
        </is>
      </c>
      <c r="F235" s="5" t="n">
        <v>1</v>
      </c>
      <c r="G235" s="7" t="inlineStr">
        <is>
          <t>P0</t>
        </is>
      </c>
      <c r="H235" s="6" t="inlineStr">
        <is>
          <t>웹 UI — 보호자</t>
        </is>
      </c>
      <c r="I235" s="33" t="inlineStr">
        <is>
          <t>비밀번호 재설정 화면. 참고: wireframes/web/15-reset-password.svg</t>
        </is>
      </c>
    </row>
    <row r="236">
      <c r="A236" s="22" t="n">
        <v>13</v>
      </c>
      <c r="B236" s="5" t="inlineStr">
        <is>
          <t>13.2.1</t>
        </is>
      </c>
      <c r="C236" s="6" t="inlineStr">
        <is>
          <t>G-01 대시보드</t>
        </is>
      </c>
      <c r="D236" s="6" t="inlineStr">
        <is>
          <t>API 3.2.3,8.2.1</t>
        </is>
      </c>
      <c r="E236" s="5" t="inlineStr">
        <is>
          <t>M</t>
        </is>
      </c>
      <c r="F236" s="5" t="n">
        <v>2.5</v>
      </c>
      <c r="G236" s="7" t="inlineStr">
        <is>
          <t>P0</t>
        </is>
      </c>
      <c r="H236" s="6" t="inlineStr">
        <is>
          <t>웹 UI — 보호자</t>
        </is>
      </c>
      <c r="I236" s="33" t="inlineStr">
        <is>
          <t>보호자 대시보드(당사자 목록·최근 활동·알림). 참고: docs/04 §1 보호자, wireframes/web/02-guardian-dashboard.svg</t>
        </is>
      </c>
    </row>
    <row r="237">
      <c r="A237" s="22" t="n">
        <v>13</v>
      </c>
      <c r="B237" s="5" t="inlineStr">
        <is>
          <t>13.2.2</t>
        </is>
      </c>
      <c r="C237" s="6" t="inlineStr">
        <is>
          <t>G-02 당사자 프로필</t>
        </is>
      </c>
      <c r="D237" s="6" t="inlineStr">
        <is>
          <t>API 3.2.2,4.1.3</t>
        </is>
      </c>
      <c r="E237" s="5" t="inlineStr">
        <is>
          <t>M</t>
        </is>
      </c>
      <c r="F237" s="5" t="n">
        <v>2.5</v>
      </c>
      <c r="G237" s="7" t="inlineStr">
        <is>
          <t>P0</t>
        </is>
      </c>
      <c r="H237" s="6" t="inlineStr">
        <is>
          <t>웹 UI — 보호자</t>
        </is>
      </c>
      <c r="I237" s="33" t="inlineStr">
        <is>
          <t>당사자 프로필(요약·권한 현황). 참고: wireframes/web/16-guardian-person-profile.svg</t>
        </is>
      </c>
    </row>
    <row r="238">
      <c r="A238" s="22" t="n">
        <v>13</v>
      </c>
      <c r="B238" s="5" t="inlineStr">
        <is>
          <t>13.2.3</t>
        </is>
      </c>
      <c r="C238" s="6" t="inlineStr">
        <is>
          <t>G-03 당사자 등록 위자드(5 step)</t>
        </is>
      </c>
      <c r="D238" s="6" t="inlineStr">
        <is>
          <t>API 3.2.1</t>
        </is>
      </c>
      <c r="E238" s="5" t="inlineStr">
        <is>
          <t>L</t>
        </is>
      </c>
      <c r="F238" s="5" t="n">
        <v>5</v>
      </c>
      <c r="G238" s="7" t="inlineStr">
        <is>
          <t>P0</t>
        </is>
      </c>
      <c r="H238" s="6" t="inlineStr">
        <is>
          <t>웹 UI — 보호자</t>
        </is>
      </c>
      <c r="I238" s="33" t="inlineStr">
        <is>
          <t>당사자 등록 위자드 5스텝. 참고: docs/04 §1, wireframes/web/17-guardian-person-register.svg</t>
        </is>
      </c>
    </row>
    <row r="239">
      <c r="A239" s="22" t="n">
        <v>13</v>
      </c>
      <c r="B239" s="5" t="inlineStr">
        <is>
          <t>13.2.4</t>
        </is>
      </c>
      <c r="C239" s="6" t="inlineStr">
        <is>
          <t>G-10 타임라인</t>
        </is>
      </c>
      <c r="D239" s="6" t="inlineStr">
        <is>
          <t>API 8.2.*</t>
        </is>
      </c>
      <c r="E239" s="5" t="inlineStr">
        <is>
          <t>M</t>
        </is>
      </c>
      <c r="F239" s="5" t="n">
        <v>2.5</v>
      </c>
      <c r="G239" s="7" t="inlineStr">
        <is>
          <t>P0</t>
        </is>
      </c>
      <c r="H239" s="6" t="inlineStr">
        <is>
          <t>웹 UI — 보호자</t>
        </is>
      </c>
      <c r="I239" s="33" t="inlineStr">
        <is>
          <t>생애주기 타임라인. 참고: docs/05 §6, wireframes/web/03-timeline.svg</t>
        </is>
      </c>
    </row>
    <row r="240">
      <c r="A240" s="22" t="n">
        <v>13</v>
      </c>
      <c r="B240" s="5" t="inlineStr">
        <is>
          <t>13.2.5</t>
        </is>
      </c>
      <c r="C240" s="6" t="inlineStr">
        <is>
          <t>G-20 기록 관리(전체)</t>
        </is>
      </c>
      <c r="D240" s="6" t="inlineStr">
        <is>
          <t>API 5.0.3</t>
        </is>
      </c>
      <c r="E240" s="5" t="inlineStr">
        <is>
          <t>M</t>
        </is>
      </c>
      <c r="F240" s="5" t="n">
        <v>2.5</v>
      </c>
      <c r="G240" s="7" t="inlineStr">
        <is>
          <t>P0</t>
        </is>
      </c>
      <c r="H240" s="6" t="inlineStr">
        <is>
          <t>웹 UI — 보호자</t>
        </is>
      </c>
      <c r="I240" s="33" t="inlineStr">
        <is>
          <t>전체 기록 관리. 참고: wireframes/web/04-record-list.svg</t>
        </is>
      </c>
    </row>
    <row r="241">
      <c r="A241" s="22" t="n">
        <v>13</v>
      </c>
      <c r="B241" s="5" t="inlineStr">
        <is>
          <t>13.2.6</t>
        </is>
      </c>
      <c r="C241" s="6" t="inlineStr">
        <is>
          <t>G-21 분야별 기록 목록</t>
        </is>
      </c>
      <c r="D241" s="6" t="inlineStr">
        <is>
          <t>API 5.0.4</t>
        </is>
      </c>
      <c r="E241" s="5" t="inlineStr">
        <is>
          <t>S</t>
        </is>
      </c>
      <c r="F241" s="5" t="n">
        <v>1</v>
      </c>
      <c r="G241" s="7" t="inlineStr">
        <is>
          <t>P0</t>
        </is>
      </c>
      <c r="H241" s="6" t="inlineStr">
        <is>
          <t>웹 UI — 보호자</t>
        </is>
      </c>
      <c r="I241" s="33" t="inlineStr">
        <is>
          <t>도메인별 기록 목록. 참고: wireframes/web/18-guardian-records-domain.svg</t>
        </is>
      </c>
    </row>
    <row r="242">
      <c r="A242" s="22" t="n">
        <v>13</v>
      </c>
      <c r="B242" s="5" t="inlineStr">
        <is>
          <t>13.2.7</t>
        </is>
      </c>
      <c r="C242" s="6" t="inlineStr">
        <is>
          <t>G-22 기록 상세(Split)</t>
        </is>
      </c>
      <c r="D242" s="6" t="inlineStr">
        <is>
          <t>API 5.0.2</t>
        </is>
      </c>
      <c r="E242" s="5" t="inlineStr">
        <is>
          <t>M</t>
        </is>
      </c>
      <c r="F242" s="5" t="n">
        <v>2.5</v>
      </c>
      <c r="G242" s="7" t="inlineStr">
        <is>
          <t>P0</t>
        </is>
      </c>
      <c r="H242" s="6" t="inlineStr">
        <is>
          <t>웹 UI — 보호자</t>
        </is>
      </c>
      <c r="I242" s="33" t="inlineStr">
        <is>
          <t>기록 상세(Split 뷰). 참고: wireframes/web/05-record-detail.svg</t>
        </is>
      </c>
    </row>
    <row r="243">
      <c r="A243" s="22" t="n">
        <v>13</v>
      </c>
      <c r="B243" s="5" t="inlineStr">
        <is>
          <t>13.2.8</t>
        </is>
      </c>
      <c r="C243" s="6" t="inlineStr">
        <is>
          <t>G-23 기록 작성(5 step)</t>
        </is>
      </c>
      <c r="D243" s="6" t="inlineStr">
        <is>
          <t>API 5.0.1</t>
        </is>
      </c>
      <c r="E243" s="5" t="inlineStr">
        <is>
          <t>L</t>
        </is>
      </c>
      <c r="F243" s="5" t="n">
        <v>5</v>
      </c>
      <c r="G243" s="7" t="inlineStr">
        <is>
          <t>P0</t>
        </is>
      </c>
      <c r="H243" s="6" t="inlineStr">
        <is>
          <t>웹 UI — 보호자</t>
        </is>
      </c>
      <c r="I243" s="33" t="inlineStr">
        <is>
          <t>기록 작성 위자드 5스텝(도메인별 분기). 참고: docs/05 §4 기록 작성 공통, wireframes/web/06-record-form.svg</t>
        </is>
      </c>
    </row>
    <row r="244">
      <c r="A244" s="22" t="n">
        <v>13</v>
      </c>
      <c r="B244" s="5" t="inlineStr">
        <is>
          <t>13.2.9</t>
        </is>
      </c>
      <c r="C244" s="6" t="inlineStr">
        <is>
          <t>G-24 기록 수정</t>
        </is>
      </c>
      <c r="D244" s="6" t="inlineStr">
        <is>
          <t>API 5.0.5</t>
        </is>
      </c>
      <c r="E244" s="5" t="inlineStr">
        <is>
          <t>S</t>
        </is>
      </c>
      <c r="F244" s="5" t="n">
        <v>1</v>
      </c>
      <c r="G244" s="7" t="inlineStr">
        <is>
          <t>P0</t>
        </is>
      </c>
      <c r="H244" s="6" t="inlineStr">
        <is>
          <t>웹 UI — 보호자</t>
        </is>
      </c>
      <c r="I244" s="33" t="inlineStr">
        <is>
          <t>기록 수정. 참고: wireframes/web/19-guardian-record-edit.svg</t>
        </is>
      </c>
    </row>
    <row r="245">
      <c r="A245" s="22" t="n">
        <v>13</v>
      </c>
      <c r="B245" s="5" t="inlineStr">
        <is>
          <t>13.2.10</t>
        </is>
      </c>
      <c r="C245" s="6" t="inlineStr">
        <is>
          <t>G-30 권한 매트릭스</t>
        </is>
      </c>
      <c r="D245" s="6" t="inlineStr">
        <is>
          <t>API 4.1.3</t>
        </is>
      </c>
      <c r="E245" s="5" t="inlineStr">
        <is>
          <t>M</t>
        </is>
      </c>
      <c r="F245" s="5" t="n">
        <v>2.5</v>
      </c>
      <c r="G245" s="7" t="inlineStr">
        <is>
          <t>P0</t>
        </is>
      </c>
      <c r="H245" s="6" t="inlineStr">
        <is>
          <t>웹 UI — 보호자</t>
        </is>
      </c>
      <c r="I245" s="33" t="inlineStr">
        <is>
          <t>권한 매트릭스(이해관계자×도메인). 참고: wireframes/web/07-permission-matrix.svg</t>
        </is>
      </c>
    </row>
    <row r="246">
      <c r="A246" s="22" t="n">
        <v>13</v>
      </c>
      <c r="B246" s="5" t="inlineStr">
        <is>
          <t>13.2.11</t>
        </is>
      </c>
      <c r="C246" s="6" t="inlineStr">
        <is>
          <t>G-31 이해관계자 상세</t>
        </is>
      </c>
      <c r="D246" s="6" t="inlineStr">
        <is>
          <t>API 4.1.4</t>
        </is>
      </c>
      <c r="E246" s="5" t="inlineStr">
        <is>
          <t>S</t>
        </is>
      </c>
      <c r="F246" s="5" t="n">
        <v>1</v>
      </c>
      <c r="G246" s="7" t="inlineStr">
        <is>
          <t>P0</t>
        </is>
      </c>
      <c r="H246" s="6" t="inlineStr">
        <is>
          <t>웹 UI — 보호자</t>
        </is>
      </c>
      <c r="I246" s="33" t="inlineStr">
        <is>
          <t>이해관계자 상세(받은 권한·이력). 참고: wireframes/web/20-guardian-stakeholder-detail.svg</t>
        </is>
      </c>
    </row>
    <row r="247">
      <c r="A247" s="22" t="n">
        <v>13</v>
      </c>
      <c r="B247" s="5" t="inlineStr">
        <is>
          <t>13.2.12</t>
        </is>
      </c>
      <c r="C247" s="6" t="inlineStr">
        <is>
          <t>G-32 권한 부여 위자드(4 step)</t>
        </is>
      </c>
      <c r="D247" s="6" t="inlineStr">
        <is>
          <t>API 4.2.*</t>
        </is>
      </c>
      <c r="E247" s="5" t="inlineStr">
        <is>
          <t>L</t>
        </is>
      </c>
      <c r="F247" s="5" t="n">
        <v>5</v>
      </c>
      <c r="G247" s="7" t="inlineStr">
        <is>
          <t>P0</t>
        </is>
      </c>
      <c r="H247" s="6" t="inlineStr">
        <is>
          <t>웹 UI — 보호자</t>
        </is>
      </c>
      <c r="I247" s="33" t="inlineStr">
        <is>
          <t>권한 부여 위자드 4스텝. 참고: docs/06 §6, wireframes/web/21-guardian-grant-wizard.svg</t>
        </is>
      </c>
    </row>
    <row r="248">
      <c r="A248" s="22" t="n">
        <v>13</v>
      </c>
      <c r="B248" s="5" t="inlineStr">
        <is>
          <t>13.2.13</t>
        </is>
      </c>
      <c r="C248" s="6" t="inlineStr">
        <is>
          <t>G-33/34 권한 수정·회수 모달</t>
        </is>
      </c>
      <c r="D248" s="6" t="inlineStr">
        <is>
          <t>API 4.1.5,4.1.6</t>
        </is>
      </c>
      <c r="E248" s="5" t="inlineStr">
        <is>
          <t>S</t>
        </is>
      </c>
      <c r="F248" s="5" t="n">
        <v>1</v>
      </c>
      <c r="G248" s="7" t="inlineStr">
        <is>
          <t>P0</t>
        </is>
      </c>
      <c r="H248" s="6" t="inlineStr">
        <is>
          <t>웹 UI — 보호자</t>
        </is>
      </c>
      <c r="I248" s="33" t="inlineStr">
        <is>
          <t>권한 수정·회수 모달. 참고: wireframes/web/28-guardian-permission-modals.svg</t>
        </is>
      </c>
    </row>
    <row r="249">
      <c r="A249" s="22" t="n">
        <v>13</v>
      </c>
      <c r="B249" s="5" t="inlineStr">
        <is>
          <t>13.2.14</t>
        </is>
      </c>
      <c r="C249" s="6" t="inlineStr">
        <is>
          <t>G-40 접근 로그</t>
        </is>
      </c>
      <c r="D249" s="6" t="inlineStr">
        <is>
          <t>API 11.4,11.5</t>
        </is>
      </c>
      <c r="E249" s="5" t="inlineStr">
        <is>
          <t>M</t>
        </is>
      </c>
      <c r="F249" s="5" t="n">
        <v>2.5</v>
      </c>
      <c r="G249" s="7" t="inlineStr">
        <is>
          <t>P0</t>
        </is>
      </c>
      <c r="H249" s="6" t="inlineStr">
        <is>
          <t>웹 UI — 보호자</t>
        </is>
      </c>
      <c r="I249" s="33" t="inlineStr">
        <is>
          <t>접근 로그 화면. 참고: docs/05 §9, wireframes/web/22-guardian-access-log.svg</t>
        </is>
      </c>
    </row>
    <row r="250">
      <c r="A250" s="22" t="n">
        <v>13</v>
      </c>
      <c r="B250" s="5" t="inlineStr">
        <is>
          <t>13.2.15</t>
        </is>
      </c>
      <c r="C250" s="6" t="inlineStr">
        <is>
          <t>G-50 알림</t>
        </is>
      </c>
      <c r="D250" s="6" t="inlineStr">
        <is>
          <t>API 10.1.3</t>
        </is>
      </c>
      <c r="E250" s="5" t="inlineStr">
        <is>
          <t>S</t>
        </is>
      </c>
      <c r="F250" s="5" t="n">
        <v>1</v>
      </c>
      <c r="G250" s="7" t="inlineStr">
        <is>
          <t>P0</t>
        </is>
      </c>
      <c r="H250" s="6" t="inlineStr">
        <is>
          <t>웹 UI — 보호자</t>
        </is>
      </c>
      <c r="I250" s="33" t="inlineStr">
        <is>
          <t>알림 목록. 참고: wireframes/web/23-guardian-notifications.svg</t>
        </is>
      </c>
    </row>
    <row r="251">
      <c r="A251" s="22" t="n">
        <v>13</v>
      </c>
      <c r="B251" s="5" t="inlineStr">
        <is>
          <t>13.3.1</t>
        </is>
      </c>
      <c r="C251" s="6" t="inlineStr">
        <is>
          <t>G-60 설정 허브</t>
        </is>
      </c>
      <c r="D251" s="6" t="inlineStr">
        <is>
          <t>—</t>
        </is>
      </c>
      <c r="E251" s="5" t="inlineStr">
        <is>
          <t>S</t>
        </is>
      </c>
      <c r="F251" s="5" t="n">
        <v>1</v>
      </c>
      <c r="G251" s="7" t="inlineStr">
        <is>
          <t>P0</t>
        </is>
      </c>
      <c r="H251" s="6" t="inlineStr">
        <is>
          <t>웹 UI — 보호자</t>
        </is>
      </c>
      <c r="I251" s="33" t="inlineStr">
        <is>
          <t>설정 허브. 참고: wireframes/web/10-settings.svg</t>
        </is>
      </c>
    </row>
    <row r="252">
      <c r="A252" s="22" t="n">
        <v>13</v>
      </c>
      <c r="B252" s="5" t="inlineStr">
        <is>
          <t>13.3.2</t>
        </is>
      </c>
      <c r="C252" s="6" t="inlineStr">
        <is>
          <t>G-61 프로필 편집</t>
        </is>
      </c>
      <c r="D252" s="6" t="inlineStr">
        <is>
          <t>API 3.1.2</t>
        </is>
      </c>
      <c r="E252" s="5" t="inlineStr">
        <is>
          <t>S</t>
        </is>
      </c>
      <c r="F252" s="5" t="n">
        <v>1</v>
      </c>
      <c r="G252" s="7" t="inlineStr">
        <is>
          <t>P0</t>
        </is>
      </c>
      <c r="H252" s="6" t="inlineStr">
        <is>
          <t>웹 UI — 보호자</t>
        </is>
      </c>
      <c r="I252" s="33" t="inlineStr">
        <is>
          <t>프로필 편집. 참고: wireframes/web/24-guardian-profile-edit.svg</t>
        </is>
      </c>
    </row>
    <row r="253">
      <c r="A253" s="22" t="n">
        <v>13</v>
      </c>
      <c r="B253" s="5" t="inlineStr">
        <is>
          <t>13.3.3</t>
        </is>
      </c>
      <c r="C253" s="6" t="inlineStr">
        <is>
          <t>G-62 당사자 정보 편집</t>
        </is>
      </c>
      <c r="D253" s="6" t="inlineStr">
        <is>
          <t>API 3.2.4</t>
        </is>
      </c>
      <c r="E253" s="5" t="inlineStr">
        <is>
          <t>M</t>
        </is>
      </c>
      <c r="F253" s="5" t="n">
        <v>2.5</v>
      </c>
      <c r="G253" s="7" t="inlineStr">
        <is>
          <t>P0</t>
        </is>
      </c>
      <c r="H253" s="6" t="inlineStr">
        <is>
          <t>웹 UI — 보호자</t>
        </is>
      </c>
      <c r="I253" s="33" t="inlineStr">
        <is>
          <t>당사자 정보 편집. 참고: wireframes/web/25-guardian-person-edit.svg</t>
        </is>
      </c>
    </row>
    <row r="254">
      <c r="A254" s="22" t="n">
        <v>13</v>
      </c>
      <c r="B254" s="5" t="inlineStr">
        <is>
          <t>13.3.4</t>
        </is>
      </c>
      <c r="C254" s="6" t="inlineStr">
        <is>
          <t>G-63 응급 정보 편집</t>
        </is>
      </c>
      <c r="D254" s="6" t="inlineStr">
        <is>
          <t>API 3.2.5</t>
        </is>
      </c>
      <c r="E254" s="5" t="inlineStr">
        <is>
          <t>M</t>
        </is>
      </c>
      <c r="F254" s="5" t="n">
        <v>2.5</v>
      </c>
      <c r="G254" s="7" t="inlineStr">
        <is>
          <t>P0</t>
        </is>
      </c>
      <c r="H254" s="6" t="inlineStr">
        <is>
          <t>웹 UI — 보호자</t>
        </is>
      </c>
      <c r="I254" s="33" t="inlineStr">
        <is>
          <t>응급 정보 편집(추가 인증). 참고: wireframes/web/26-guardian-emergency-edit.svg</t>
        </is>
      </c>
    </row>
    <row r="255">
      <c r="A255" s="22" t="n">
        <v>13</v>
      </c>
      <c r="B255" s="5" t="inlineStr">
        <is>
          <t>13.3.5</t>
        </is>
      </c>
      <c r="C255" s="6" t="inlineStr">
        <is>
          <t>G-64 알림 설정</t>
        </is>
      </c>
      <c r="D255" s="6" t="inlineStr">
        <is>
          <t>API 10.2.4~7</t>
        </is>
      </c>
      <c r="E255" s="5" t="inlineStr">
        <is>
          <t>S</t>
        </is>
      </c>
      <c r="F255" s="5" t="n">
        <v>1</v>
      </c>
      <c r="G255" s="7" t="inlineStr">
        <is>
          <t>P0</t>
        </is>
      </c>
      <c r="H255" s="6" t="inlineStr">
        <is>
          <t>웹 UI — 보호자</t>
        </is>
      </c>
      <c r="I255" s="33" t="inlineStr">
        <is>
          <t>알림 설정. 참고: wireframes/web/27-guardian-notification-settings.svg</t>
        </is>
      </c>
    </row>
    <row r="256">
      <c r="A256" s="23" t="n">
        <v>14</v>
      </c>
      <c r="B256" s="5" t="inlineStr">
        <is>
          <t>14.1</t>
        </is>
      </c>
      <c r="C256" s="6" t="inlineStr">
        <is>
          <t>P-01 오늘 기록 홈</t>
        </is>
      </c>
      <c r="D256" s="6" t="inlineStr">
        <is>
          <t>API 6.2</t>
        </is>
      </c>
      <c r="E256" s="5" t="inlineStr">
        <is>
          <t>M</t>
        </is>
      </c>
      <c r="F256" s="5" t="n">
        <v>2.5</v>
      </c>
      <c r="G256" s="7" t="inlineStr">
        <is>
          <t>P0</t>
        </is>
      </c>
      <c r="H256" s="6" t="inlineStr">
        <is>
          <t>웹 UI — 당사자(접근성)</t>
        </is>
      </c>
      <c r="I256" s="33" t="inlineStr">
        <is>
          <t>당사자 오늘 기록 홈(큰 CTA). 참고: docs/04 §2 당사자, docs/07 §9, wireframes/web/08-person-home.svg</t>
        </is>
      </c>
    </row>
    <row r="257">
      <c r="A257" s="23" t="n">
        <v>14</v>
      </c>
      <c r="B257" s="5" t="inlineStr">
        <is>
          <t>14.2</t>
        </is>
      </c>
      <c r="C257" s="6" t="inlineStr">
        <is>
          <t>P-02 자기표현 위자드(Flow-1)</t>
        </is>
      </c>
      <c r="D257" s="6" t="inlineStr">
        <is>
          <t>API 6.1</t>
        </is>
      </c>
      <c r="E257" s="5" t="inlineStr">
        <is>
          <t>L</t>
        </is>
      </c>
      <c r="F257" s="5" t="n">
        <v>5</v>
      </c>
      <c r="G257" s="7" t="inlineStr">
        <is>
          <t>P0</t>
        </is>
      </c>
      <c r="H257" s="6" t="inlineStr">
        <is>
          <t>웹 UI — 당사자(접근성)</t>
        </is>
      </c>
      <c r="I257" s="33" t="inlineStr">
        <is>
          <t>자기표현 위자드(Flow-1, 아이콘 기반). 참고: docs/06 §6 Flow-1, wireframes/web/09-self-expression.svg</t>
        </is>
      </c>
    </row>
    <row r="258">
      <c r="A258" s="23" t="n">
        <v>14</v>
      </c>
      <c r="B258" s="5" t="inlineStr">
        <is>
          <t>14.3</t>
        </is>
      </c>
      <c r="C258" s="6" t="inlineStr">
        <is>
          <t>P-03 자기표현 완료 애니메이션</t>
        </is>
      </c>
      <c r="D258" s="6" t="inlineStr">
        <is>
          <t>—</t>
        </is>
      </c>
      <c r="E258" s="5" t="inlineStr">
        <is>
          <t>XS</t>
        </is>
      </c>
      <c r="F258" s="5" t="n">
        <v>0.5</v>
      </c>
      <c r="G258" s="7" t="inlineStr">
        <is>
          <t>P0</t>
        </is>
      </c>
      <c r="H258" s="6" t="inlineStr">
        <is>
          <t>웹 UI — 당사자(접근성)</t>
        </is>
      </c>
      <c r="I258" s="33" t="inlineStr">
        <is>
          <t>자기표현 완료 애니메이션(긍정 피드백). 참고: docs/07 §7 모션 &amp; 애니메이션</t>
        </is>
      </c>
    </row>
    <row r="259">
      <c r="A259" s="23" t="n">
        <v>14</v>
      </c>
      <c r="B259" s="5" t="inlineStr">
        <is>
          <t>14.4</t>
        </is>
      </c>
      <c r="C259" s="6" t="inlineStr">
        <is>
          <t>P-10 내 기록(분야 그리드)</t>
        </is>
      </c>
      <c r="D259" s="6" t="inlineStr">
        <is>
          <t>API 5.0.3</t>
        </is>
      </c>
      <c r="E259" s="5" t="inlineStr">
        <is>
          <t>S</t>
        </is>
      </c>
      <c r="F259" s="5" t="n">
        <v>1</v>
      </c>
      <c r="G259" s="7" t="inlineStr">
        <is>
          <t>P0</t>
        </is>
      </c>
      <c r="H259" s="6" t="inlineStr">
        <is>
          <t>웹 UI — 당사자(접근성)</t>
        </is>
      </c>
      <c r="I259" s="33" t="inlineStr">
        <is>
          <t>내 기록 분야 그리드. 참고: wireframes/web/29-person-records.svg</t>
        </is>
      </c>
    </row>
    <row r="260">
      <c r="A260" s="23" t="n">
        <v>14</v>
      </c>
      <c r="B260" s="5" t="inlineStr">
        <is>
          <t>14.5</t>
        </is>
      </c>
      <c r="C260" s="6" t="inlineStr">
        <is>
          <t>P-11 기록 상세(쉬운 요약)</t>
        </is>
      </c>
      <c r="D260" s="6" t="inlineStr">
        <is>
          <t>API 5.0.2</t>
        </is>
      </c>
      <c r="E260" s="5" t="inlineStr">
        <is>
          <t>M</t>
        </is>
      </c>
      <c r="F260" s="5" t="n">
        <v>2.5</v>
      </c>
      <c r="G260" s="7" t="inlineStr">
        <is>
          <t>P0</t>
        </is>
      </c>
      <c r="H260" s="6" t="inlineStr">
        <is>
          <t>웹 UI — 당사자(접근성)</t>
        </is>
      </c>
      <c r="I260" s="33" t="inlineStr">
        <is>
          <t>기록 상세(쉬운 요약 summary 필드). 참고: wireframes/web/30-person-record-detail.svg</t>
        </is>
      </c>
    </row>
    <row r="261">
      <c r="A261" s="23" t="n">
        <v>14</v>
      </c>
      <c r="B261" s="5" t="inlineStr">
        <is>
          <t>14.6</t>
        </is>
      </c>
      <c r="C261" s="6" t="inlineStr">
        <is>
          <t>P-20 설정 허브(큰 카드)</t>
        </is>
      </c>
      <c r="D261" s="6" t="inlineStr">
        <is>
          <t>—</t>
        </is>
      </c>
      <c r="E261" s="5" t="inlineStr">
        <is>
          <t>XS</t>
        </is>
      </c>
      <c r="F261" s="5" t="n">
        <v>0.5</v>
      </c>
      <c r="G261" s="7" t="inlineStr">
        <is>
          <t>P0</t>
        </is>
      </c>
      <c r="H261" s="6" t="inlineStr">
        <is>
          <t>웹 UI — 당사자(접근성)</t>
        </is>
      </c>
      <c r="I261" s="33" t="inlineStr">
        <is>
          <t>설정 허브(큰 카드). 참고: wireframes/web/31-person-settings.svg</t>
        </is>
      </c>
    </row>
    <row r="262">
      <c r="A262" s="23" t="n">
        <v>14</v>
      </c>
      <c r="B262" s="5" t="inlineStr">
        <is>
          <t>14.7</t>
        </is>
      </c>
      <c r="C262" s="6" t="inlineStr">
        <is>
          <t>P-21 접근성 설정</t>
        </is>
      </c>
      <c r="D262" s="6" t="inlineStr">
        <is>
          <t>API 3.4.3</t>
        </is>
      </c>
      <c r="E262" s="5" t="inlineStr">
        <is>
          <t>M</t>
        </is>
      </c>
      <c r="F262" s="5" t="n">
        <v>2.5</v>
      </c>
      <c r="G262" s="7" t="inlineStr">
        <is>
          <t>P0</t>
        </is>
      </c>
      <c r="H262" s="6" t="inlineStr">
        <is>
          <t>웹 UI — 당사자(접근성)</t>
        </is>
      </c>
      <c r="I262" s="33" t="inlineStr">
        <is>
          <t>접근성 설정(글씨·대비·TTS). 참고: docs/07 §9, wireframes/web/32-person-accessibility.svg</t>
        </is>
      </c>
    </row>
    <row r="263">
      <c r="A263" s="23" t="n">
        <v>14</v>
      </c>
      <c r="B263" s="5" t="inlineStr">
        <is>
          <t>14.8</t>
        </is>
      </c>
      <c r="C263" s="6" t="inlineStr">
        <is>
          <t>P-22 내 정보</t>
        </is>
      </c>
      <c r="D263" s="6" t="inlineStr">
        <is>
          <t>API 3.4.2</t>
        </is>
      </c>
      <c r="E263" s="5" t="inlineStr">
        <is>
          <t>S</t>
        </is>
      </c>
      <c r="F263" s="5" t="n">
        <v>1</v>
      </c>
      <c r="G263" s="7" t="inlineStr">
        <is>
          <t>P0</t>
        </is>
      </c>
      <c r="H263" s="6" t="inlineStr">
        <is>
          <t>웹 UI — 당사자(접근성)</t>
        </is>
      </c>
      <c r="I263" s="33" t="inlineStr">
        <is>
          <t>내 정보. 참고: wireframes/web/33-person-profile.svg</t>
        </is>
      </c>
    </row>
    <row r="264">
      <c r="A264" s="23" t="n">
        <v>14</v>
      </c>
      <c r="B264" s="5" t="inlineStr">
        <is>
          <t>14.9</t>
        </is>
      </c>
      <c r="C264" s="6" t="inlineStr">
        <is>
          <t>P-30 알림(큰 카드)</t>
        </is>
      </c>
      <c r="D264" s="6" t="inlineStr">
        <is>
          <t>API 10.1.3</t>
        </is>
      </c>
      <c r="E264" s="5" t="inlineStr">
        <is>
          <t>S</t>
        </is>
      </c>
      <c r="F264" s="5" t="n">
        <v>1</v>
      </c>
      <c r="G264" s="7" t="inlineStr">
        <is>
          <t>P0</t>
        </is>
      </c>
      <c r="H264" s="6" t="inlineStr">
        <is>
          <t>웹 UI — 당사자(접근성)</t>
        </is>
      </c>
      <c r="I264" s="33" t="inlineStr">
        <is>
          <t>알림(큰 카드). 참고: wireframes/web/34-person-notifications.svg</t>
        </is>
      </c>
    </row>
    <row r="265">
      <c r="A265" s="23" t="n">
        <v>14</v>
      </c>
      <c r="B265" s="5" t="inlineStr">
        <is>
          <t>14.10</t>
        </is>
      </c>
      <c r="C265" s="6" t="inlineStr">
        <is>
          <t>접근성 모드 자동 적용(theme switch)</t>
        </is>
      </c>
      <c r="D265" s="6" t="inlineStr">
        <is>
          <t>tokens-a11y</t>
        </is>
      </c>
      <c r="E265" s="5" t="inlineStr">
        <is>
          <t>M</t>
        </is>
      </c>
      <c r="F265" s="5" t="n">
        <v>2.5</v>
      </c>
      <c r="G265" s="7" t="inlineStr">
        <is>
          <t>P0</t>
        </is>
      </c>
      <c r="H265" s="6" t="inlineStr">
        <is>
          <t>웹 UI — 당사자(접근성)</t>
        </is>
      </c>
      <c r="I265" s="33" t="inlineStr">
        <is>
          <t>접근성 모드 자동 적용(theme switch). 참고: docs/07 §9 당사자 접근성 모드, tokens-a11y</t>
        </is>
      </c>
    </row>
    <row r="266">
      <c r="A266" s="24" t="n">
        <v>15</v>
      </c>
      <c r="B266" s="5" t="inlineStr">
        <is>
          <t>15.1.1</t>
        </is>
      </c>
      <c r="C266" s="6" t="inlineStr">
        <is>
          <t>S-01 홈</t>
        </is>
      </c>
      <c r="D266" s="6" t="inlineStr">
        <is>
          <t>API 5.D.2 list</t>
        </is>
      </c>
      <c r="E266" s="5" t="inlineStr">
        <is>
          <t>S</t>
        </is>
      </c>
      <c r="F266" s="5" t="n">
        <v>1</v>
      </c>
      <c r="G266" s="7" t="inlineStr">
        <is>
          <t>P0</t>
        </is>
      </c>
      <c r="H266" s="6" t="inlineStr">
        <is>
          <t>웹 UI — 전문가(4역할)</t>
        </is>
      </c>
      <c r="I266" s="33" t="inlineStr">
        <is>
          <t>활동지원사 홈. 참고: docs/04 §3 활동지원사, wireframes/web/35-supporter-home.svg</t>
        </is>
      </c>
    </row>
    <row r="267">
      <c r="A267" s="24" t="n">
        <v>15</v>
      </c>
      <c r="B267" s="5" t="inlineStr">
        <is>
          <t>15.1.2</t>
        </is>
      </c>
      <c r="C267" s="6" t="inlineStr">
        <is>
          <t>S-10 일지 목록</t>
        </is>
      </c>
      <c r="D267" s="6" t="inlineStr">
        <is>
          <t>API 5.D.2 L</t>
        </is>
      </c>
      <c r="E267" s="5" t="inlineStr">
        <is>
          <t>S</t>
        </is>
      </c>
      <c r="F267" s="5" t="n">
        <v>1</v>
      </c>
      <c r="G267" s="7" t="inlineStr">
        <is>
          <t>P0</t>
        </is>
      </c>
      <c r="H267" s="6" t="inlineStr">
        <is>
          <t>웹 UI — 전문가(4역할)</t>
        </is>
      </c>
      <c r="I267" s="33" t="inlineStr">
        <is>
          <t>일지 목록. 참고: wireframes/web/36-supporter-journal-list.svg</t>
        </is>
      </c>
    </row>
    <row r="268">
      <c r="A268" s="24" t="n">
        <v>15</v>
      </c>
      <c r="B268" s="5" t="inlineStr">
        <is>
          <t>15.1.3</t>
        </is>
      </c>
      <c r="C268" s="6" t="inlineStr">
        <is>
          <t>S-11 일지 상세</t>
        </is>
      </c>
      <c r="D268" s="6" t="inlineStr">
        <is>
          <t>API 5.D.2 R</t>
        </is>
      </c>
      <c r="E268" s="5" t="inlineStr">
        <is>
          <t>S</t>
        </is>
      </c>
      <c r="F268" s="5" t="n">
        <v>1</v>
      </c>
      <c r="G268" s="7" t="inlineStr">
        <is>
          <t>P0</t>
        </is>
      </c>
      <c r="H268" s="6" t="inlineStr">
        <is>
          <t>웹 UI — 전문가(4역할)</t>
        </is>
      </c>
      <c r="I268" s="33" t="inlineStr">
        <is>
          <t>일지 상세. 참고: wireframes/web/37-supporter-journal-detail.svg</t>
        </is>
      </c>
    </row>
    <row r="269">
      <c r="A269" s="24" t="n">
        <v>15</v>
      </c>
      <c r="B269" s="5" t="inlineStr">
        <is>
          <t>15.1.4</t>
        </is>
      </c>
      <c r="C269" s="6" t="inlineStr">
        <is>
          <t>S-12 일지 작성 위자드(Flow-4)</t>
        </is>
      </c>
      <c r="D269" s="6" t="inlineStr">
        <is>
          <t>API 5.D.2 C</t>
        </is>
      </c>
      <c r="E269" s="5" t="inlineStr">
        <is>
          <t>L</t>
        </is>
      </c>
      <c r="F269" s="5" t="n">
        <v>5</v>
      </c>
      <c r="G269" s="7" t="inlineStr">
        <is>
          <t>P0</t>
        </is>
      </c>
      <c r="H269" s="6" t="inlineStr">
        <is>
          <t>웹 UI — 전문가(4역할)</t>
        </is>
      </c>
      <c r="I269" s="33" t="inlineStr">
        <is>
          <t>일지 작성 위자드 5스텝(Flow-4). 참고: docs/06 §6 Flow-4, wireframes/web/38-supporter-journal-form.svg</t>
        </is>
      </c>
    </row>
    <row r="270">
      <c r="A270" s="24" t="n">
        <v>15</v>
      </c>
      <c r="B270" s="5" t="inlineStr">
        <is>
          <t>15.1.5</t>
        </is>
      </c>
      <c r="C270" s="6" t="inlineStr">
        <is>
          <t>S-13 일지 수정</t>
        </is>
      </c>
      <c r="D270" s="6" t="inlineStr">
        <is>
          <t>API 5.D.2 U</t>
        </is>
      </c>
      <c r="E270" s="5" t="inlineStr">
        <is>
          <t>S</t>
        </is>
      </c>
      <c r="F270" s="5" t="n">
        <v>1</v>
      </c>
      <c r="G270" s="7" t="inlineStr">
        <is>
          <t>P0</t>
        </is>
      </c>
      <c r="H270" s="6" t="inlineStr">
        <is>
          <t>웹 UI — 전문가(4역할)</t>
        </is>
      </c>
      <c r="I270" s="33" t="inlineStr">
        <is>
          <t>일지 수정. 참고: wireframes/web/38-supporter-journal-form.svg</t>
        </is>
      </c>
    </row>
    <row r="271">
      <c r="A271" s="24" t="n">
        <v>15</v>
      </c>
      <c r="B271" s="5" t="inlineStr">
        <is>
          <t>15.1.6</t>
        </is>
      </c>
      <c r="C271" s="6" t="inlineStr">
        <is>
          <t>S-20 인수인계 목록</t>
        </is>
      </c>
      <c r="D271" s="6" t="inlineStr">
        <is>
          <t>API 9.1.3,9.1.4</t>
        </is>
      </c>
      <c r="E271" s="5" t="inlineStr">
        <is>
          <t>S</t>
        </is>
      </c>
      <c r="F271" s="5" t="n">
        <v>1</v>
      </c>
      <c r="G271" s="7" t="inlineStr">
        <is>
          <t>P0</t>
        </is>
      </c>
      <c r="H271" s="6" t="inlineStr">
        <is>
          <t>웹 UI — 전문가(4역할)</t>
        </is>
      </c>
      <c r="I271" s="33" t="inlineStr">
        <is>
          <t>인수인계 목록. 참고: wireframes/web/39-supporter-handover-list.svg</t>
        </is>
      </c>
    </row>
    <row r="272">
      <c r="A272" s="24" t="n">
        <v>15</v>
      </c>
      <c r="B272" s="5" t="inlineStr">
        <is>
          <t>15.1.7</t>
        </is>
      </c>
      <c r="C272" s="6" t="inlineStr">
        <is>
          <t>S-21 인수인계 상세</t>
        </is>
      </c>
      <c r="D272" s="6" t="inlineStr">
        <is>
          <t>API 9.1.2,9.2.5</t>
        </is>
      </c>
      <c r="E272" s="5" t="inlineStr">
        <is>
          <t>M</t>
        </is>
      </c>
      <c r="F272" s="5" t="n">
        <v>2.5</v>
      </c>
      <c r="G272" s="7" t="inlineStr">
        <is>
          <t>P0</t>
        </is>
      </c>
      <c r="H272" s="6" t="inlineStr">
        <is>
          <t>웹 UI — 전문가(4역할)</t>
        </is>
      </c>
      <c r="I272" s="33" t="inlineStr">
        <is>
          <t>인수인계 상세(확인 처리). 참고: docs/05 §7, wireframes/web/40-supporter-handover-detail.svg</t>
        </is>
      </c>
    </row>
    <row r="273">
      <c r="A273" s="24" t="n">
        <v>15</v>
      </c>
      <c r="B273" s="5" t="inlineStr">
        <is>
          <t>15.1.8</t>
        </is>
      </c>
      <c r="C273" s="6" t="inlineStr">
        <is>
          <t>S-30/40 알림+설정 통합</t>
        </is>
      </c>
      <c r="D273" s="6" t="inlineStr">
        <is>
          <t>API 10.1.3,10.2.5</t>
        </is>
      </c>
      <c r="E273" s="5" t="inlineStr">
        <is>
          <t>S</t>
        </is>
      </c>
      <c r="F273" s="5" t="n">
        <v>1</v>
      </c>
      <c r="G273" s="7" t="inlineStr">
        <is>
          <t>P0</t>
        </is>
      </c>
      <c r="H273" s="6" t="inlineStr">
        <is>
          <t>웹 UI — 전문가(4역할)</t>
        </is>
      </c>
      <c r="I273" s="33" t="inlineStr">
        <is>
          <t>알림+설정 통합. 참고: wireframes/web/41-supporter-notifications-settings.svg</t>
        </is>
      </c>
    </row>
    <row r="274">
      <c r="A274" s="24" t="n">
        <v>15</v>
      </c>
      <c r="B274" s="5" t="inlineStr">
        <is>
          <t>15.2.1</t>
        </is>
      </c>
      <c r="C274" s="6" t="inlineStr">
        <is>
          <t>T-01 홈(담당 학생)</t>
        </is>
      </c>
      <c r="D274" s="6" t="inlineStr">
        <is>
          <t>API 5.B list</t>
        </is>
      </c>
      <c r="E274" s="5" t="inlineStr">
        <is>
          <t>M</t>
        </is>
      </c>
      <c r="F274" s="5" t="n">
        <v>2.5</v>
      </c>
      <c r="G274" s="7" t="inlineStr">
        <is>
          <t>P0</t>
        </is>
      </c>
      <c r="H274" s="6" t="inlineStr">
        <is>
          <t>웹 UI — 전문가(4역할)</t>
        </is>
      </c>
      <c r="I274" s="33" t="inlineStr">
        <is>
          <t>교사 홈(담당 학생). 참고: docs/04 §4 특수교사, wireframes/web/42-teacher-home.svg</t>
        </is>
      </c>
    </row>
    <row r="275">
      <c r="A275" s="24" t="n">
        <v>15</v>
      </c>
      <c r="B275" s="5" t="inlineStr">
        <is>
          <t>15.2.2</t>
        </is>
      </c>
      <c r="C275" s="6" t="inlineStr">
        <is>
          <t>T-11 IEP 목록</t>
        </is>
      </c>
      <c r="D275" s="6" t="inlineStr">
        <is>
          <t>API 5.B.1 L</t>
        </is>
      </c>
      <c r="E275" s="5" t="inlineStr">
        <is>
          <t>S</t>
        </is>
      </c>
      <c r="F275" s="5" t="n">
        <v>1</v>
      </c>
      <c r="G275" s="7" t="inlineStr">
        <is>
          <t>P0</t>
        </is>
      </c>
      <c r="H275" s="6" t="inlineStr">
        <is>
          <t>웹 UI — 전문가(4역할)</t>
        </is>
      </c>
      <c r="I275" s="33" t="inlineStr">
        <is>
          <t>IEP 목록. 참고: wireframes/web/43-teacher-iep-list.svg</t>
        </is>
      </c>
    </row>
    <row r="276">
      <c r="A276" s="24" t="n">
        <v>15</v>
      </c>
      <c r="B276" s="5" t="inlineStr">
        <is>
          <t>15.2.3</t>
        </is>
      </c>
      <c r="C276" s="6" t="inlineStr">
        <is>
          <t>T-12 IEP 상세</t>
        </is>
      </c>
      <c r="D276" s="6" t="inlineStr">
        <is>
          <t>API 5.B.1 R</t>
        </is>
      </c>
      <c r="E276" s="5" t="inlineStr">
        <is>
          <t>M</t>
        </is>
      </c>
      <c r="F276" s="5" t="n">
        <v>2.5</v>
      </c>
      <c r="G276" s="7" t="inlineStr">
        <is>
          <t>P0</t>
        </is>
      </c>
      <c r="H276" s="6" t="inlineStr">
        <is>
          <t>웹 UI — 전문가(4역할)</t>
        </is>
      </c>
      <c r="I276" s="33" t="inlineStr">
        <is>
          <t>IEP 상세. 참고: wireframes/web/44-teacher-iep-detail.svg</t>
        </is>
      </c>
    </row>
    <row r="277">
      <c r="A277" s="24" t="n">
        <v>15</v>
      </c>
      <c r="B277" s="5" t="inlineStr">
        <is>
          <t>15.2.4</t>
        </is>
      </c>
      <c r="C277" s="6" t="inlineStr">
        <is>
          <t>T-13 IEP 작성 위자드(Flow-5)</t>
        </is>
      </c>
      <c r="D277" s="6" t="inlineStr">
        <is>
          <t>API 5.B.1 C</t>
        </is>
      </c>
      <c r="E277" s="5" t="inlineStr">
        <is>
          <t>XL</t>
        </is>
      </c>
      <c r="F277" s="5" t="n">
        <v>7</v>
      </c>
      <c r="G277" s="7" t="inlineStr">
        <is>
          <t>P0</t>
        </is>
      </c>
      <c r="H277" s="6" t="inlineStr">
        <is>
          <t>웹 UI — 전문가(4역할)</t>
        </is>
      </c>
      <c r="I277" s="33" t="inlineStr">
        <is>
          <t>IEP 작성 위자드 6스텝(Flow-5·최대 공수). 참고: docs/06 §6 Flow-5, docs/02 §3 JSONB(EDU-001), wireframes/web/45-teacher-iep-form.svg</t>
        </is>
      </c>
    </row>
    <row r="278">
      <c r="A278" s="24" t="n">
        <v>15</v>
      </c>
      <c r="B278" s="5" t="inlineStr">
        <is>
          <t>15.2.5</t>
        </is>
      </c>
      <c r="C278" s="6" t="inlineStr">
        <is>
          <t>T-14 IEP 점검</t>
        </is>
      </c>
      <c r="D278" s="6" t="inlineStr">
        <is>
          <t>API 5.B.3</t>
        </is>
      </c>
      <c r="E278" s="5" t="inlineStr">
        <is>
          <t>M</t>
        </is>
      </c>
      <c r="F278" s="5" t="n">
        <v>2.5</v>
      </c>
      <c r="G278" s="7" t="inlineStr">
        <is>
          <t>P0</t>
        </is>
      </c>
      <c r="H278" s="6" t="inlineStr">
        <is>
          <t>웹 UI — 전문가(4역할)</t>
        </is>
      </c>
      <c r="I278" s="33" t="inlineStr">
        <is>
          <t>IEP 중간 점검. 참고: wireframes/web/46-teacher-iep-review.svg</t>
        </is>
      </c>
    </row>
    <row r="279">
      <c r="A279" s="24" t="n">
        <v>15</v>
      </c>
      <c r="B279" s="5" t="inlineStr">
        <is>
          <t>15.2.6</t>
        </is>
      </c>
      <c r="C279" s="6" t="inlineStr">
        <is>
          <t>T-15 관찰 기록 목록</t>
        </is>
      </c>
      <c r="D279" s="6" t="inlineStr">
        <is>
          <t>API 5.B.4 L</t>
        </is>
      </c>
      <c r="E279" s="5" t="inlineStr">
        <is>
          <t>S</t>
        </is>
      </c>
      <c r="F279" s="5" t="n">
        <v>1</v>
      </c>
      <c r="G279" s="7" t="inlineStr">
        <is>
          <t>P0</t>
        </is>
      </c>
      <c r="H279" s="6" t="inlineStr">
        <is>
          <t>웹 UI — 전문가(4역할)</t>
        </is>
      </c>
      <c r="I279" s="33" t="inlineStr">
        <is>
          <t>관찰 기록 목록. 참고: wireframes/web/47-teacher-observation.svg</t>
        </is>
      </c>
    </row>
    <row r="280">
      <c r="A280" s="24" t="n">
        <v>15</v>
      </c>
      <c r="B280" s="5" t="inlineStr">
        <is>
          <t>15.2.7</t>
        </is>
      </c>
      <c r="C280" s="6" t="inlineStr">
        <is>
          <t>T-16 관찰 기록 작성</t>
        </is>
      </c>
      <c r="D280" s="6" t="inlineStr">
        <is>
          <t>API 5.B.4 C</t>
        </is>
      </c>
      <c r="E280" s="5" t="inlineStr">
        <is>
          <t>M</t>
        </is>
      </c>
      <c r="F280" s="5" t="n">
        <v>2.5</v>
      </c>
      <c r="G280" s="7" t="inlineStr">
        <is>
          <t>P0</t>
        </is>
      </c>
      <c r="H280" s="6" t="inlineStr">
        <is>
          <t>웹 UI — 전문가(4역할)</t>
        </is>
      </c>
      <c r="I280" s="33" t="inlineStr">
        <is>
          <t>관찰 기록 작성. 참고: wireframes/web/47-teacher-observation.svg</t>
        </is>
      </c>
    </row>
    <row r="281">
      <c r="A281" s="24" t="n">
        <v>15</v>
      </c>
      <c r="B281" s="5" t="inlineStr">
        <is>
          <t>15.2.8</t>
        </is>
      </c>
      <c r="C281" s="6" t="inlineStr">
        <is>
          <t>T-17 전환교육 목록</t>
        </is>
      </c>
      <c r="D281" s="6" t="inlineStr">
        <is>
          <t>API 5.B.7 L</t>
        </is>
      </c>
      <c r="E281" s="5" t="inlineStr">
        <is>
          <t>S</t>
        </is>
      </c>
      <c r="F281" s="5" t="n">
        <v>1</v>
      </c>
      <c r="G281" s="7" t="inlineStr">
        <is>
          <t>P0</t>
        </is>
      </c>
      <c r="H281" s="6" t="inlineStr">
        <is>
          <t>웹 UI — 전문가(4역할)</t>
        </is>
      </c>
      <c r="I281" s="33" t="inlineStr">
        <is>
          <t>전환교육 목록. 참고: wireframes/web/48-teacher-transition.svg</t>
        </is>
      </c>
    </row>
    <row r="282">
      <c r="A282" s="24" t="n">
        <v>15</v>
      </c>
      <c r="B282" s="5" t="inlineStr">
        <is>
          <t>15.2.9</t>
        </is>
      </c>
      <c r="C282" s="6" t="inlineStr">
        <is>
          <t>T-18 전환교육 작성(4 step)</t>
        </is>
      </c>
      <c r="D282" s="6" t="inlineStr">
        <is>
          <t>API 5.B.7 C</t>
        </is>
      </c>
      <c r="E282" s="5" t="inlineStr">
        <is>
          <t>L</t>
        </is>
      </c>
      <c r="F282" s="5" t="n">
        <v>5</v>
      </c>
      <c r="G282" s="7" t="inlineStr">
        <is>
          <t>P0</t>
        </is>
      </c>
      <c r="H282" s="6" t="inlineStr">
        <is>
          <t>웹 UI — 전문가(4역할)</t>
        </is>
      </c>
      <c r="I282" s="33" t="inlineStr">
        <is>
          <t>전환교육 작성 4스텝. 참고: wireframes/web/48-teacher-transition.svg</t>
        </is>
      </c>
    </row>
    <row r="283">
      <c r="A283" s="24" t="n">
        <v>15</v>
      </c>
      <c r="B283" s="5" t="inlineStr">
        <is>
          <t>15.2.10</t>
        </is>
      </c>
      <c r="C283" s="6" t="inlineStr">
        <is>
          <t>T-20 교육 타임라인</t>
        </is>
      </c>
      <c r="D283" s="6" t="inlineStr">
        <is>
          <t>API 8.2 filter</t>
        </is>
      </c>
      <c r="E283" s="5" t="inlineStr">
        <is>
          <t>S</t>
        </is>
      </c>
      <c r="F283" s="5" t="n">
        <v>1</v>
      </c>
      <c r="G283" s="7" t="inlineStr">
        <is>
          <t>P0</t>
        </is>
      </c>
      <c r="H283" s="6" t="inlineStr">
        <is>
          <t>웹 UI — 전문가(4역할)</t>
        </is>
      </c>
      <c r="I283" s="33" t="inlineStr">
        <is>
          <t>교육 타임라인(도메인 필터). 참고: wireframes/web/49-teacher-timeline.svg</t>
        </is>
      </c>
    </row>
    <row r="284">
      <c r="A284" s="24" t="n">
        <v>15</v>
      </c>
      <c r="B284" s="5" t="inlineStr">
        <is>
          <t>15.2.11</t>
        </is>
      </c>
      <c r="C284" s="6" t="inlineStr">
        <is>
          <t>T-30/40 알림+설정</t>
        </is>
      </c>
      <c r="D284" s="6" t="inlineStr">
        <is>
          <t>API 10.*</t>
        </is>
      </c>
      <c r="E284" s="5" t="inlineStr">
        <is>
          <t>S</t>
        </is>
      </c>
      <c r="F284" s="5" t="n">
        <v>1</v>
      </c>
      <c r="G284" s="7" t="inlineStr">
        <is>
          <t>P0</t>
        </is>
      </c>
      <c r="H284" s="6" t="inlineStr">
        <is>
          <t>웹 UI — 전문가(4역할)</t>
        </is>
      </c>
      <c r="I284" s="33" t="inlineStr">
        <is>
          <t>알림+설정. 참고: wireframes/web/50-teacher-notifications-settings.svg</t>
        </is>
      </c>
    </row>
    <row r="285">
      <c r="A285" s="24" t="n">
        <v>15</v>
      </c>
      <c r="B285" s="5" t="inlineStr">
        <is>
          <t>15.3.1</t>
        </is>
      </c>
      <c r="C285" s="6" t="inlineStr">
        <is>
          <t>W-01 홈</t>
        </is>
      </c>
      <c r="D285" s="6" t="inlineStr">
        <is>
          <t>API 5.C,5.E list</t>
        </is>
      </c>
      <c r="E285" s="5" t="inlineStr">
        <is>
          <t>M</t>
        </is>
      </c>
      <c r="F285" s="5" t="n">
        <v>2.5</v>
      </c>
      <c r="G285" s="7" t="inlineStr">
        <is>
          <t>P0</t>
        </is>
      </c>
      <c r="H285" s="6" t="inlineStr">
        <is>
          <t>웹 UI — 전문가(4역할)</t>
        </is>
      </c>
      <c r="I285" s="33" t="inlineStr">
        <is>
          <t>복지사 홈. 참고: docs/04 §5 사회복지사, wireframes/web/51-worker-home.svg</t>
        </is>
      </c>
    </row>
    <row r="286">
      <c r="A286" s="24" t="n">
        <v>15</v>
      </c>
      <c r="B286" s="5" t="inlineStr">
        <is>
          <t>15.3.2</t>
        </is>
      </c>
      <c r="C286" s="6" t="inlineStr">
        <is>
          <t>W-11 ISP 목록</t>
        </is>
      </c>
      <c r="D286" s="6" t="inlineStr">
        <is>
          <t>API 5.C.4 L</t>
        </is>
      </c>
      <c r="E286" s="5" t="inlineStr">
        <is>
          <t>S</t>
        </is>
      </c>
      <c r="F286" s="5" t="n">
        <v>1</v>
      </c>
      <c r="G286" s="7" t="inlineStr">
        <is>
          <t>P0</t>
        </is>
      </c>
      <c r="H286" s="6" t="inlineStr">
        <is>
          <t>웹 UI — 전문가(4역할)</t>
        </is>
      </c>
      <c r="I286" s="33" t="inlineStr">
        <is>
          <t>ISP 목록. 참고: wireframes/web/52-worker-isp.svg</t>
        </is>
      </c>
    </row>
    <row r="287">
      <c r="A287" s="24" t="n">
        <v>15</v>
      </c>
      <c r="B287" s="5" t="inlineStr">
        <is>
          <t>15.3.3</t>
        </is>
      </c>
      <c r="C287" s="6" t="inlineStr">
        <is>
          <t>W-12 ISP 상세</t>
        </is>
      </c>
      <c r="D287" s="6" t="inlineStr">
        <is>
          <t>API 5.C.4 R</t>
        </is>
      </c>
      <c r="E287" s="5" t="inlineStr">
        <is>
          <t>M</t>
        </is>
      </c>
      <c r="F287" s="5" t="n">
        <v>2.5</v>
      </c>
      <c r="G287" s="7" t="inlineStr">
        <is>
          <t>P0</t>
        </is>
      </c>
      <c r="H287" s="6" t="inlineStr">
        <is>
          <t>웹 UI — 전문가(4역할)</t>
        </is>
      </c>
      <c r="I287" s="33" t="inlineStr">
        <is>
          <t>ISP 상세. 참고: wireframes/web/52-worker-isp.svg</t>
        </is>
      </c>
    </row>
    <row r="288">
      <c r="A288" s="24" t="n">
        <v>15</v>
      </c>
      <c r="B288" s="5" t="inlineStr">
        <is>
          <t>15.3.4</t>
        </is>
      </c>
      <c r="C288" s="6" t="inlineStr">
        <is>
          <t>W-13 ISP 작성(5 step)</t>
        </is>
      </c>
      <c r="D288" s="6" t="inlineStr">
        <is>
          <t>API 5.C.4 C</t>
        </is>
      </c>
      <c r="E288" s="5" t="inlineStr">
        <is>
          <t>XL</t>
        </is>
      </c>
      <c r="F288" s="5" t="n">
        <v>7</v>
      </c>
      <c r="G288" s="7" t="inlineStr">
        <is>
          <t>P0</t>
        </is>
      </c>
      <c r="H288" s="6" t="inlineStr">
        <is>
          <t>웹 UI — 전문가(4역할)</t>
        </is>
      </c>
      <c r="I288" s="33" t="inlineStr">
        <is>
          <t>ISP 작성 위자드 5스텝(최대 공수). 참고: docs/02 §3 JSONB(WEL-004), wireframes/web/53-worker-isp-form.svg</t>
        </is>
      </c>
    </row>
    <row r="289">
      <c r="A289" s="24" t="n">
        <v>15</v>
      </c>
      <c r="B289" s="5" t="inlineStr">
        <is>
          <t>15.3.5</t>
        </is>
      </c>
      <c r="C289" s="6" t="inlineStr">
        <is>
          <t>W-14 ISP 점검</t>
        </is>
      </c>
      <c r="D289" s="6" t="inlineStr">
        <is>
          <t>API 5.C.5</t>
        </is>
      </c>
      <c r="E289" s="5" t="inlineStr">
        <is>
          <t>M</t>
        </is>
      </c>
      <c r="F289" s="5" t="n">
        <v>2.5</v>
      </c>
      <c r="G289" s="7" t="inlineStr">
        <is>
          <t>P0</t>
        </is>
      </c>
      <c r="H289" s="6" t="inlineStr">
        <is>
          <t>웹 UI — 전문가(4역할)</t>
        </is>
      </c>
      <c r="I289" s="33" t="inlineStr">
        <is>
          <t>ISP 중간 점검. 참고: wireframes/web/52-worker-isp.svg</t>
        </is>
      </c>
    </row>
    <row r="290">
      <c r="A290" s="24" t="n">
        <v>15</v>
      </c>
      <c r="B290" s="5" t="inlineStr">
        <is>
          <t>15.3.6</t>
        </is>
      </c>
      <c r="C290" s="6" t="inlineStr">
        <is>
          <t>W-15 전환계획 목록</t>
        </is>
      </c>
      <c r="D290" s="6" t="inlineStr">
        <is>
          <t>API 5.E.1 L</t>
        </is>
      </c>
      <c r="E290" s="5" t="inlineStr">
        <is>
          <t>S</t>
        </is>
      </c>
      <c r="F290" s="5" t="n">
        <v>1</v>
      </c>
      <c r="G290" s="7" t="inlineStr">
        <is>
          <t>P0</t>
        </is>
      </c>
      <c r="H290" s="6" t="inlineStr">
        <is>
          <t>웹 UI — 전문가(4역할)</t>
        </is>
      </c>
      <c r="I290" s="33" t="inlineStr">
        <is>
          <t>전환계획 목록. 참고: wireframes/web/54-worker-transition.svg</t>
        </is>
      </c>
    </row>
    <row r="291">
      <c r="A291" s="24" t="n">
        <v>15</v>
      </c>
      <c r="B291" s="5" t="inlineStr">
        <is>
          <t>15.3.7</t>
        </is>
      </c>
      <c r="C291" s="6" t="inlineStr">
        <is>
          <t>W-16 전환계획 작성(5 step)</t>
        </is>
      </c>
      <c r="D291" s="6" t="inlineStr">
        <is>
          <t>API 5.E.1 C</t>
        </is>
      </c>
      <c r="E291" s="5" t="inlineStr">
        <is>
          <t>XL</t>
        </is>
      </c>
      <c r="F291" s="5" t="n">
        <v>7</v>
      </c>
      <c r="G291" s="7" t="inlineStr">
        <is>
          <t>P0</t>
        </is>
      </c>
      <c r="H291" s="6" t="inlineStr">
        <is>
          <t>웹 UI — 전문가(4역할)</t>
        </is>
      </c>
      <c r="I291" s="33" t="inlineStr">
        <is>
          <t>전환계획 작성 5스텝(최대 공수). 참고: docs/02 §3 JSONB(TRA-001), wireframes/web/54-worker-transition.svg</t>
        </is>
      </c>
    </row>
    <row r="292">
      <c r="A292" s="24" t="n">
        <v>15</v>
      </c>
      <c r="B292" s="5" t="inlineStr">
        <is>
          <t>15.3.8</t>
        </is>
      </c>
      <c r="C292" s="6" t="inlineStr">
        <is>
          <t>W-17 서비스 이용 현황(매트릭스)</t>
        </is>
      </c>
      <c r="D292" s="6" t="inlineStr">
        <is>
          <t>API 5.C.6 R</t>
        </is>
      </c>
      <c r="E292" s="5" t="inlineStr">
        <is>
          <t>M</t>
        </is>
      </c>
      <c r="F292" s="5" t="n">
        <v>2.5</v>
      </c>
      <c r="G292" s="7" t="inlineStr">
        <is>
          <t>P0</t>
        </is>
      </c>
      <c r="H292" s="6" t="inlineStr">
        <is>
          <t>웹 UI — 전문가(4역할)</t>
        </is>
      </c>
      <c r="I292" s="33" t="inlineStr">
        <is>
          <t>서비스 이용 현황 매트릭스. 참고: wireframes/web/55-worker-service-matrix.svg</t>
        </is>
      </c>
    </row>
    <row r="293">
      <c r="A293" s="24" t="n">
        <v>15</v>
      </c>
      <c r="B293" s="5" t="inlineStr">
        <is>
          <t>15.3.9</t>
        </is>
      </c>
      <c r="C293" s="6" t="inlineStr">
        <is>
          <t>W-20 복지+전환 타임라인</t>
        </is>
      </c>
      <c r="D293" s="6" t="inlineStr">
        <is>
          <t>API 8.2</t>
        </is>
      </c>
      <c r="E293" s="5" t="inlineStr">
        <is>
          <t>M</t>
        </is>
      </c>
      <c r="F293" s="5" t="n">
        <v>2.5</v>
      </c>
      <c r="G293" s="7" t="inlineStr">
        <is>
          <t>P0</t>
        </is>
      </c>
      <c r="H293" s="6" t="inlineStr">
        <is>
          <t>웹 UI — 전문가(4역할)</t>
        </is>
      </c>
      <c r="I293" s="33" t="inlineStr">
        <is>
          <t>복지+전환 타임라인.</t>
        </is>
      </c>
    </row>
    <row r="294">
      <c r="A294" s="24" t="n">
        <v>15</v>
      </c>
      <c r="B294" s="5" t="inlineStr">
        <is>
          <t>15.3.10</t>
        </is>
      </c>
      <c r="C294" s="6" t="inlineStr">
        <is>
          <t>W-30 인수인계 목록</t>
        </is>
      </c>
      <c r="D294" s="6" t="inlineStr">
        <is>
          <t>API 9.1.3,9.1.4</t>
        </is>
      </c>
      <c r="E294" s="5" t="inlineStr">
        <is>
          <t>S</t>
        </is>
      </c>
      <c r="F294" s="5" t="n">
        <v>1</v>
      </c>
      <c r="G294" s="7" t="inlineStr">
        <is>
          <t>P0</t>
        </is>
      </c>
      <c r="H294" s="6" t="inlineStr">
        <is>
          <t>웹 UI — 전문가(4역할)</t>
        </is>
      </c>
      <c r="I294" s="33" t="inlineStr">
        <is>
          <t>인수인계 목록.</t>
        </is>
      </c>
    </row>
    <row r="295">
      <c r="A295" s="24" t="n">
        <v>15</v>
      </c>
      <c r="B295" s="5" t="inlineStr">
        <is>
          <t>15.3.11</t>
        </is>
      </c>
      <c r="C295" s="6" t="inlineStr">
        <is>
          <t>W-31 인수인계 생성(Flow-6)</t>
        </is>
      </c>
      <c r="D295" s="6" t="inlineStr">
        <is>
          <t>API 9.1.1</t>
        </is>
      </c>
      <c r="E295" s="5" t="inlineStr">
        <is>
          <t>L</t>
        </is>
      </c>
      <c r="F295" s="5" t="n">
        <v>5</v>
      </c>
      <c r="G295" s="7" t="inlineStr">
        <is>
          <t>P0</t>
        </is>
      </c>
      <c r="H295" s="6" t="inlineStr">
        <is>
          <t>웹 UI — 전문가(4역할)</t>
        </is>
      </c>
      <c r="I295" s="33" t="inlineStr">
        <is>
          <t>인수인계 생성 4스텝(Flow-6). 참고: docs/06 §6 Flow-6, wireframes/web/56-worker-handover-create.svg</t>
        </is>
      </c>
    </row>
    <row r="296">
      <c r="A296" s="24" t="n">
        <v>15</v>
      </c>
      <c r="B296" s="5" t="inlineStr">
        <is>
          <t>15.3.12</t>
        </is>
      </c>
      <c r="C296" s="6" t="inlineStr">
        <is>
          <t>W-40/50 알림+설정</t>
        </is>
      </c>
      <c r="D296" s="6" t="inlineStr">
        <is>
          <t>API 10.*</t>
        </is>
      </c>
      <c r="E296" s="5" t="inlineStr">
        <is>
          <t>S</t>
        </is>
      </c>
      <c r="F296" s="5" t="n">
        <v>1</v>
      </c>
      <c r="G296" s="7" t="inlineStr">
        <is>
          <t>P0</t>
        </is>
      </c>
      <c r="H296" s="6" t="inlineStr">
        <is>
          <t>웹 UI — 전문가(4역할)</t>
        </is>
      </c>
      <c r="I296" s="33" t="inlineStr">
        <is>
          <t>알림+설정. 참고: wireframes/web/57-worker-notifications-settings.svg</t>
        </is>
      </c>
    </row>
    <row r="297">
      <c r="A297" s="24" t="n">
        <v>15</v>
      </c>
      <c r="B297" s="5" t="inlineStr">
        <is>
          <t>15.4.1</t>
        </is>
      </c>
      <c r="C297" s="6" t="inlineStr">
        <is>
          <t>TH-01 홈(오늘 회기)</t>
        </is>
      </c>
      <c r="D297" s="6" t="inlineStr">
        <is>
          <t>API 5.A.6</t>
        </is>
      </c>
      <c r="E297" s="5" t="inlineStr">
        <is>
          <t>M</t>
        </is>
      </c>
      <c r="F297" s="5" t="n">
        <v>2.5</v>
      </c>
      <c r="G297" s="7" t="inlineStr">
        <is>
          <t>P0</t>
        </is>
      </c>
      <c r="H297" s="6" t="inlineStr">
        <is>
          <t>웹 UI — 전문가(4역할)</t>
        </is>
      </c>
      <c r="I297" s="33" t="inlineStr">
        <is>
          <t>치료사 홈(오늘 회기). 참고: docs/04 §6 치료사, wireframes/web/58-therapist-home.svg</t>
        </is>
      </c>
    </row>
    <row r="298">
      <c r="A298" s="24" t="n">
        <v>15</v>
      </c>
      <c r="B298" s="5" t="inlineStr">
        <is>
          <t>15.4.2</t>
        </is>
      </c>
      <c r="C298" s="6" t="inlineStr">
        <is>
          <t>TH-11 치료계획서 목록</t>
        </is>
      </c>
      <c r="D298" s="6" t="inlineStr">
        <is>
          <t>API 5.A.5 L</t>
        </is>
      </c>
      <c r="E298" s="5" t="inlineStr">
        <is>
          <t>S</t>
        </is>
      </c>
      <c r="F298" s="5" t="n">
        <v>1</v>
      </c>
      <c r="G298" s="7" t="inlineStr">
        <is>
          <t>P0</t>
        </is>
      </c>
      <c r="H298" s="6" t="inlineStr">
        <is>
          <t>웹 UI — 전문가(4역할)</t>
        </is>
      </c>
      <c r="I298" s="33" t="inlineStr">
        <is>
          <t>치료계획서 목록. 참고: wireframes/web/59-therapist-plan.svg</t>
        </is>
      </c>
    </row>
    <row r="299">
      <c r="A299" s="24" t="n">
        <v>15</v>
      </c>
      <c r="B299" s="5" t="inlineStr">
        <is>
          <t>15.4.3</t>
        </is>
      </c>
      <c r="C299" s="6" t="inlineStr">
        <is>
          <t>TH-12 치료계획서 상세</t>
        </is>
      </c>
      <c r="D299" s="6" t="inlineStr">
        <is>
          <t>API 5.A.5 R</t>
        </is>
      </c>
      <c r="E299" s="5" t="inlineStr">
        <is>
          <t>M</t>
        </is>
      </c>
      <c r="F299" s="5" t="n">
        <v>2.5</v>
      </c>
      <c r="G299" s="7" t="inlineStr">
        <is>
          <t>P0</t>
        </is>
      </c>
      <c r="H299" s="6" t="inlineStr">
        <is>
          <t>웹 UI — 전문가(4역할)</t>
        </is>
      </c>
      <c r="I299" s="33" t="inlineStr">
        <is>
          <t>치료계획서 상세. 참고: wireframes/web/59-therapist-plan.svg</t>
        </is>
      </c>
    </row>
    <row r="300">
      <c r="A300" s="24" t="n">
        <v>15</v>
      </c>
      <c r="B300" s="5" t="inlineStr">
        <is>
          <t>15.4.4</t>
        </is>
      </c>
      <c r="C300" s="6" t="inlineStr">
        <is>
          <t>TH-13 치료계획서 작성(5 step)</t>
        </is>
      </c>
      <c r="D300" s="6" t="inlineStr">
        <is>
          <t>API 5.A.5 C</t>
        </is>
      </c>
      <c r="E300" s="5" t="inlineStr">
        <is>
          <t>L</t>
        </is>
      </c>
      <c r="F300" s="5" t="n">
        <v>5</v>
      </c>
      <c r="G300" s="7" t="inlineStr">
        <is>
          <t>P0</t>
        </is>
      </c>
      <c r="H300" s="6" t="inlineStr">
        <is>
          <t>웹 UI — 전문가(4역할)</t>
        </is>
      </c>
      <c r="I300" s="33" t="inlineStr">
        <is>
          <t>치료계획서 작성 5스텝. 참고: docs/02 §3 JSONB(MED-005), wireframes/web/59-therapist-plan.svg</t>
        </is>
      </c>
    </row>
    <row r="301">
      <c r="A301" s="24" t="n">
        <v>15</v>
      </c>
      <c r="B301" s="5" t="inlineStr">
        <is>
          <t>15.4.5</t>
        </is>
      </c>
      <c r="C301" s="6" t="inlineStr">
        <is>
          <t>TH-14 회기 일지 목록</t>
        </is>
      </c>
      <c r="D301" s="6" t="inlineStr">
        <is>
          <t>API 5.A.6 L</t>
        </is>
      </c>
      <c r="E301" s="5" t="inlineStr">
        <is>
          <t>S</t>
        </is>
      </c>
      <c r="F301" s="5" t="n">
        <v>1</v>
      </c>
      <c r="G301" s="7" t="inlineStr">
        <is>
          <t>P0</t>
        </is>
      </c>
      <c r="H301" s="6" t="inlineStr">
        <is>
          <t>웹 UI — 전문가(4역할)</t>
        </is>
      </c>
      <c r="I301" s="33" t="inlineStr">
        <is>
          <t>회기 일지 목록. 참고: wireframes/web/60-therapist-session-form.svg</t>
        </is>
      </c>
    </row>
    <row r="302">
      <c r="A302" s="24" t="n">
        <v>15</v>
      </c>
      <c r="B302" s="5" t="inlineStr">
        <is>
          <t>15.4.6</t>
        </is>
      </c>
      <c r="C302" s="6" t="inlineStr">
        <is>
          <t>TH-15 회기 일지 작성</t>
        </is>
      </c>
      <c r="D302" s="6" t="inlineStr">
        <is>
          <t>API 5.A.6 C</t>
        </is>
      </c>
      <c r="E302" s="5" t="inlineStr">
        <is>
          <t>M</t>
        </is>
      </c>
      <c r="F302" s="5" t="n">
        <v>2.5</v>
      </c>
      <c r="G302" s="7" t="inlineStr">
        <is>
          <t>P0</t>
        </is>
      </c>
      <c r="H302" s="6" t="inlineStr">
        <is>
          <t>웹 UI — 전문가(4역할)</t>
        </is>
      </c>
      <c r="I302" s="33" t="inlineStr">
        <is>
          <t>회기 일지 작성. 참고: docs/02 §3 JSONB(MED-006), wireframes/web/60-therapist-session-form.svg</t>
        </is>
      </c>
    </row>
    <row r="303">
      <c r="A303" s="24" t="n">
        <v>15</v>
      </c>
      <c r="B303" s="5" t="inlineStr">
        <is>
          <t>15.4.7</t>
        </is>
      </c>
      <c r="C303" s="6" t="inlineStr">
        <is>
          <t>TH-16 평가 보고서 목록</t>
        </is>
      </c>
      <c r="D303" s="6" t="inlineStr">
        <is>
          <t>API 5.A.7 L</t>
        </is>
      </c>
      <c r="E303" s="5" t="inlineStr">
        <is>
          <t>S</t>
        </is>
      </c>
      <c r="F303" s="5" t="n">
        <v>1</v>
      </c>
      <c r="G303" s="7" t="inlineStr">
        <is>
          <t>P0</t>
        </is>
      </c>
      <c r="H303" s="6" t="inlineStr">
        <is>
          <t>웹 UI — 전문가(4역할)</t>
        </is>
      </c>
      <c r="I303" s="33" t="inlineStr">
        <is>
          <t>평가 보고서 목록. 참고: wireframes/web/61-therapist-evaluation.svg</t>
        </is>
      </c>
    </row>
    <row r="304">
      <c r="A304" s="24" t="n">
        <v>15</v>
      </c>
      <c r="B304" s="5" t="inlineStr">
        <is>
          <t>15.4.8</t>
        </is>
      </c>
      <c r="C304" s="6" t="inlineStr">
        <is>
          <t>TH-17 평가 보고서 작성(4 step)</t>
        </is>
      </c>
      <c r="D304" s="6" t="inlineStr">
        <is>
          <t>API 5.A.7 C</t>
        </is>
      </c>
      <c r="E304" s="5" t="inlineStr">
        <is>
          <t>L</t>
        </is>
      </c>
      <c r="F304" s="5" t="n">
        <v>5</v>
      </c>
      <c r="G304" s="7" t="inlineStr">
        <is>
          <t>P0</t>
        </is>
      </c>
      <c r="H304" s="6" t="inlineStr">
        <is>
          <t>웹 UI — 전문가(4역할)</t>
        </is>
      </c>
      <c r="I304" s="33" t="inlineStr">
        <is>
          <t>평가 보고서 작성 4스텝. 참고: docs/02 §3 JSONB(MED-007), wireframes/web/61-therapist-evaluation.svg</t>
        </is>
      </c>
    </row>
    <row r="305">
      <c r="A305" s="24" t="n">
        <v>15</v>
      </c>
      <c r="B305" s="5" t="inlineStr">
        <is>
          <t>15.4.9</t>
        </is>
      </c>
      <c r="C305" s="6" t="inlineStr">
        <is>
          <t>TH-20 의료 타임라인</t>
        </is>
      </c>
      <c r="D305" s="6" t="inlineStr">
        <is>
          <t>API 8.2</t>
        </is>
      </c>
      <c r="E305" s="5" t="inlineStr">
        <is>
          <t>M</t>
        </is>
      </c>
      <c r="F305" s="5" t="n">
        <v>2.5</v>
      </c>
      <c r="G305" s="7" t="inlineStr">
        <is>
          <t>P0</t>
        </is>
      </c>
      <c r="H305" s="6" t="inlineStr">
        <is>
          <t>웹 UI — 전문가(4역할)</t>
        </is>
      </c>
      <c r="I305" s="33" t="inlineStr">
        <is>
          <t>의료 타임라인. 참고: wireframes/web/62-therapist-timeline-settings.svg</t>
        </is>
      </c>
    </row>
    <row r="306">
      <c r="A306" s="24" t="n">
        <v>15</v>
      </c>
      <c r="B306" s="5" t="inlineStr">
        <is>
          <t>15.4.10</t>
        </is>
      </c>
      <c r="C306" s="6" t="inlineStr">
        <is>
          <t>TH-30/40 알림+설정</t>
        </is>
      </c>
      <c r="D306" s="6" t="inlineStr">
        <is>
          <t>API 10.*</t>
        </is>
      </c>
      <c r="E306" s="5" t="inlineStr">
        <is>
          <t>S</t>
        </is>
      </c>
      <c r="F306" s="5" t="n">
        <v>1</v>
      </c>
      <c r="G306" s="7" t="inlineStr">
        <is>
          <t>P0</t>
        </is>
      </c>
      <c r="H306" s="6" t="inlineStr">
        <is>
          <t>웹 UI — 전문가(4역할)</t>
        </is>
      </c>
      <c r="I306" s="33" t="inlineStr">
        <is>
          <t>알림+설정. 참고: wireframes/web/62-therapist-timeline-settings.svg</t>
        </is>
      </c>
    </row>
    <row r="307">
      <c r="A307" s="10" t="n">
        <v>16</v>
      </c>
      <c r="B307" s="5" t="inlineStr">
        <is>
          <t>16.1.1</t>
        </is>
      </c>
      <c r="C307" s="6" t="inlineStr">
        <is>
          <t>A-01 로그인(모바일)</t>
        </is>
      </c>
      <c r="D307" s="6" t="inlineStr">
        <is>
          <t>—</t>
        </is>
      </c>
      <c r="E307" s="5" t="inlineStr">
        <is>
          <t>S</t>
        </is>
      </c>
      <c r="F307" s="5" t="n">
        <v>1</v>
      </c>
      <c r="G307" s="7" t="inlineStr">
        <is>
          <t>P0</t>
        </is>
      </c>
      <c r="H307" s="6" t="inlineStr">
        <is>
          <t>모바일 앱(RN)</t>
        </is>
      </c>
      <c r="I307" s="33" t="inlineStr">
        <is>
          <t>모바일 로그인. 참고: docs/06 §5 모바일 앱 IA, wireframes/mobile/01-m-login.svg</t>
        </is>
      </c>
    </row>
    <row r="308">
      <c r="A308" s="10" t="n">
        <v>16</v>
      </c>
      <c r="B308" s="5" t="inlineStr">
        <is>
          <t>16.1.2</t>
        </is>
      </c>
      <c r="C308" s="6" t="inlineStr">
        <is>
          <t>A-03 회원가입 역할 선택</t>
        </is>
      </c>
      <c r="D308" s="6" t="inlineStr">
        <is>
          <t>—</t>
        </is>
      </c>
      <c r="E308" s="5" t="inlineStr">
        <is>
          <t>S</t>
        </is>
      </c>
      <c r="F308" s="5" t="n">
        <v>1</v>
      </c>
      <c r="G308" s="7" t="inlineStr">
        <is>
          <t>P0</t>
        </is>
      </c>
      <c r="H308" s="6" t="inlineStr">
        <is>
          <t>모바일 앱(RN)</t>
        </is>
      </c>
      <c r="I308" s="33" t="inlineStr">
        <is>
          <t>회원가입 역할 선택. 참고: wireframes/mobile/06-m-signup-role.svg</t>
        </is>
      </c>
    </row>
    <row r="309">
      <c r="A309" s="10" t="n">
        <v>16</v>
      </c>
      <c r="B309" s="5" t="inlineStr">
        <is>
          <t>16.1.3</t>
        </is>
      </c>
      <c r="C309" s="6" t="inlineStr">
        <is>
          <t>A-02/04/05/07 회원가입·인증·재설정 통합</t>
        </is>
      </c>
      <c r="D309" s="6" t="inlineStr">
        <is>
          <t>—</t>
        </is>
      </c>
      <c r="E309" s="5" t="inlineStr">
        <is>
          <t>M</t>
        </is>
      </c>
      <c r="F309" s="5" t="n">
        <v>2.5</v>
      </c>
      <c r="G309" s="7" t="inlineStr">
        <is>
          <t>P0</t>
        </is>
      </c>
      <c r="H309" s="6" t="inlineStr">
        <is>
          <t>모바일 앱(RN)</t>
        </is>
      </c>
      <c r="I309" s="33" t="inlineStr">
        <is>
          <t>회원가입·이메일 인증·재설정 통합 플로우. 참고: docs/05 §1 온보딩</t>
        </is>
      </c>
    </row>
    <row r="310">
      <c r="A310" s="10" t="n">
        <v>16</v>
      </c>
      <c r="B310" s="5" t="inlineStr">
        <is>
          <t>16.1.4</t>
        </is>
      </c>
      <c r="C310" s="6" t="inlineStr">
        <is>
          <t>A-06 초대 수락(Deep Link)</t>
        </is>
      </c>
      <c r="D310" s="6" t="inlineStr">
        <is>
          <t>—</t>
        </is>
      </c>
      <c r="E310" s="5" t="inlineStr">
        <is>
          <t>M</t>
        </is>
      </c>
      <c r="F310" s="5" t="n">
        <v>2.5</v>
      </c>
      <c r="G310" s="7" t="inlineStr">
        <is>
          <t>P0</t>
        </is>
      </c>
      <c r="H310" s="6" t="inlineStr">
        <is>
          <t>모바일 앱(RN)</t>
        </is>
      </c>
      <c r="I310" s="33" t="inlineStr">
        <is>
          <t>초대 수락(Deep Link 처리). 참고: docs/08-wbs.md §16.6.6</t>
        </is>
      </c>
    </row>
    <row r="311">
      <c r="A311" s="10" t="n">
        <v>16</v>
      </c>
      <c r="B311" s="5" t="inlineStr">
        <is>
          <t>16.2.1</t>
        </is>
      </c>
      <c r="C311" s="6" t="inlineStr">
        <is>
          <t>G-01 홈(Bottom Tab)</t>
        </is>
      </c>
      <c r="D311" s="6" t="inlineStr">
        <is>
          <t>—</t>
        </is>
      </c>
      <c r="E311" s="5" t="inlineStr">
        <is>
          <t>M</t>
        </is>
      </c>
      <c r="F311" s="5" t="n">
        <v>2.5</v>
      </c>
      <c r="G311" s="7" t="inlineStr">
        <is>
          <t>P0</t>
        </is>
      </c>
      <c r="H311" s="6" t="inlineStr">
        <is>
          <t>모바일 앱(RN)</t>
        </is>
      </c>
      <c r="I311" s="33" t="inlineStr">
        <is>
          <t>보호자 홈(Bottom Tab). 참고: wireframes/mobile/02-m-guardian-home.svg</t>
        </is>
      </c>
    </row>
    <row r="312">
      <c r="A312" s="10" t="n">
        <v>16</v>
      </c>
      <c r="B312" s="5" t="inlineStr">
        <is>
          <t>16.2.2</t>
        </is>
      </c>
      <c r="C312" s="6" t="inlineStr">
        <is>
          <t>G-10 타임라인</t>
        </is>
      </c>
      <c r="D312" s="6" t="inlineStr">
        <is>
          <t>—</t>
        </is>
      </c>
      <c r="E312" s="5" t="inlineStr">
        <is>
          <t>M</t>
        </is>
      </c>
      <c r="F312" s="5" t="n">
        <v>2.5</v>
      </c>
      <c r="G312" s="7" t="inlineStr">
        <is>
          <t>P0</t>
        </is>
      </c>
      <c r="H312" s="6" t="inlineStr">
        <is>
          <t>모바일 앱(RN)</t>
        </is>
      </c>
      <c r="I312" s="33" t="inlineStr">
        <is>
          <t>타임라인. 참고: wireframes/mobile/03-m-timeline.svg</t>
        </is>
      </c>
    </row>
    <row r="313">
      <c r="A313" s="10" t="n">
        <v>16</v>
      </c>
      <c r="B313" s="5" t="inlineStr">
        <is>
          <t>16.2.3</t>
        </is>
      </c>
      <c r="C313" s="6" t="inlineStr">
        <is>
          <t>G-22 기록 상세(Push)</t>
        </is>
      </c>
      <c r="D313" s="6" t="inlineStr">
        <is>
          <t>—</t>
        </is>
      </c>
      <c r="E313" s="5" t="inlineStr">
        <is>
          <t>S</t>
        </is>
      </c>
      <c r="F313" s="5" t="n">
        <v>1</v>
      </c>
      <c r="G313" s="7" t="inlineStr">
        <is>
          <t>P0</t>
        </is>
      </c>
      <c r="H313" s="6" t="inlineStr">
        <is>
          <t>모바일 앱(RN)</t>
        </is>
      </c>
      <c r="I313" s="33" t="inlineStr">
        <is>
          <t>기록 상세(Push). 참고: wireframes/mobile/07-m-record-detail.svg</t>
        </is>
      </c>
    </row>
    <row r="314">
      <c r="A314" s="10" t="n">
        <v>16</v>
      </c>
      <c r="B314" s="5" t="inlineStr">
        <is>
          <t>16.2.4</t>
        </is>
      </c>
      <c r="C314" s="6" t="inlineStr">
        <is>
          <t>G-23 기록 작성(Full-screen Flow)</t>
        </is>
      </c>
      <c r="D314" s="6" t="inlineStr">
        <is>
          <t>—</t>
        </is>
      </c>
      <c r="E314" s="5" t="inlineStr">
        <is>
          <t>L</t>
        </is>
      </c>
      <c r="F314" s="5" t="n">
        <v>5</v>
      </c>
      <c r="G314" s="7" t="inlineStr">
        <is>
          <t>P0</t>
        </is>
      </c>
      <c r="H314" s="6" t="inlineStr">
        <is>
          <t>모바일 앱(RN)</t>
        </is>
      </c>
      <c r="I314" s="33" t="inlineStr">
        <is>
          <t>기록 작성(Full-screen Flow). 참고: wireframes/mobile/08-m-record-form.svg</t>
        </is>
      </c>
    </row>
    <row r="315">
      <c r="A315" s="10" t="n">
        <v>16</v>
      </c>
      <c r="B315" s="5" t="inlineStr">
        <is>
          <t>16.2.5</t>
        </is>
      </c>
      <c r="C315" s="6" t="inlineStr">
        <is>
          <t>G-30 권한 매트릭스(카드 리스트)</t>
        </is>
      </c>
      <c r="D315" s="6" t="inlineStr">
        <is>
          <t>—</t>
        </is>
      </c>
      <c r="E315" s="5" t="inlineStr">
        <is>
          <t>M</t>
        </is>
      </c>
      <c r="F315" s="5" t="n">
        <v>2.5</v>
      </c>
      <c r="G315" s="7" t="inlineStr">
        <is>
          <t>P0</t>
        </is>
      </c>
      <c r="H315" s="6" t="inlineStr">
        <is>
          <t>모바일 앱(RN)</t>
        </is>
      </c>
      <c r="I315" s="33" t="inlineStr">
        <is>
          <t>권한 매트릭스(카드 리스트). 참고: wireframes/mobile/09-m-permissions.svg</t>
        </is>
      </c>
    </row>
    <row r="316">
      <c r="A316" s="10" t="n">
        <v>16</v>
      </c>
      <c r="B316" s="5" t="inlineStr">
        <is>
          <t>16.2.6</t>
        </is>
      </c>
      <c r="C316" s="6" t="inlineStr">
        <is>
          <t>G-32 권한 부여 위자드</t>
        </is>
      </c>
      <c r="D316" s="6" t="inlineStr">
        <is>
          <t>—</t>
        </is>
      </c>
      <c r="E316" s="5" t="inlineStr">
        <is>
          <t>L</t>
        </is>
      </c>
      <c r="F316" s="5" t="n">
        <v>5</v>
      </c>
      <c r="G316" s="7" t="inlineStr">
        <is>
          <t>P0</t>
        </is>
      </c>
      <c r="H316" s="6" t="inlineStr">
        <is>
          <t>모바일 앱(RN)</t>
        </is>
      </c>
      <c r="I316" s="33" t="inlineStr">
        <is>
          <t>권한 부여 위자드. 참고: wireframes/mobile/10-m-grant-wizard.svg</t>
        </is>
      </c>
    </row>
    <row r="317">
      <c r="A317" s="10" t="n">
        <v>16</v>
      </c>
      <c r="B317" s="5" t="inlineStr">
        <is>
          <t>16.2.7</t>
        </is>
      </c>
      <c r="C317" s="6" t="inlineStr">
        <is>
          <t>G-50 알림(인라인 액션)</t>
        </is>
      </c>
      <c r="D317" s="6" t="inlineStr">
        <is>
          <t>—</t>
        </is>
      </c>
      <c r="E317" s="5" t="inlineStr">
        <is>
          <t>S</t>
        </is>
      </c>
      <c r="F317" s="5" t="n">
        <v>1</v>
      </c>
      <c r="G317" s="7" t="inlineStr">
        <is>
          <t>P0</t>
        </is>
      </c>
      <c r="H317" s="6" t="inlineStr">
        <is>
          <t>모바일 앱(RN)</t>
        </is>
      </c>
      <c r="I317" s="33" t="inlineStr">
        <is>
          <t>알림(인라인 액션). 참고: wireframes/mobile/11-m-notifications.svg</t>
        </is>
      </c>
    </row>
    <row r="318">
      <c r="A318" s="10" t="n">
        <v>16</v>
      </c>
      <c r="B318" s="5" t="inlineStr">
        <is>
          <t>16.2.8</t>
        </is>
      </c>
      <c r="C318" s="6" t="inlineStr">
        <is>
          <t>G-60 설정(당사자별 진입)</t>
        </is>
      </c>
      <c r="D318" s="6" t="inlineStr">
        <is>
          <t>—</t>
        </is>
      </c>
      <c r="E318" s="5" t="inlineStr">
        <is>
          <t>S</t>
        </is>
      </c>
      <c r="F318" s="5" t="n">
        <v>1</v>
      </c>
      <c r="G318" s="7" t="inlineStr">
        <is>
          <t>P0</t>
        </is>
      </c>
      <c r="H318" s="6" t="inlineStr">
        <is>
          <t>모바일 앱(RN)</t>
        </is>
      </c>
      <c r="I318" s="33" t="inlineStr">
        <is>
          <t>설정(당사자별 진입). 참고: wireframes/mobile/12-m-settings.svg</t>
        </is>
      </c>
    </row>
    <row r="319">
      <c r="A319" s="10" t="n">
        <v>16</v>
      </c>
      <c r="B319" s="5" t="inlineStr">
        <is>
          <t>16.3.1</t>
        </is>
      </c>
      <c r="C319" s="6" t="inlineStr">
        <is>
          <t>P-01 오늘 기록 홈(큰 CTA)</t>
        </is>
      </c>
      <c r="D319" s="6" t="inlineStr">
        <is>
          <t>—</t>
        </is>
      </c>
      <c r="E319" s="5" t="inlineStr">
        <is>
          <t>M</t>
        </is>
      </c>
      <c r="F319" s="5" t="n">
        <v>2.5</v>
      </c>
      <c r="G319" s="7" t="inlineStr">
        <is>
          <t>P0</t>
        </is>
      </c>
      <c r="H319" s="6" t="inlineStr">
        <is>
          <t>모바일 앱(RN)</t>
        </is>
      </c>
      <c r="I319" s="33" t="inlineStr">
        <is>
          <t>당사자 오늘 기록 홈(큰 CTA). 참고: docs/07 §9 접근성, wireframes/mobile/04-m-person-home.svg</t>
        </is>
      </c>
    </row>
    <row r="320">
      <c r="A320" s="10" t="n">
        <v>16</v>
      </c>
      <c r="B320" s="5" t="inlineStr">
        <is>
          <t>16.3.2</t>
        </is>
      </c>
      <c r="C320" s="6" t="inlineStr">
        <is>
          <t>P-02 자기표현 위자드(4 step, 풀스크린)</t>
        </is>
      </c>
      <c r="D320" s="6" t="inlineStr">
        <is>
          <t>—</t>
        </is>
      </c>
      <c r="E320" s="5" t="inlineStr">
        <is>
          <t>L</t>
        </is>
      </c>
      <c r="F320" s="5" t="n">
        <v>5</v>
      </c>
      <c r="G320" s="7" t="inlineStr">
        <is>
          <t>P0</t>
        </is>
      </c>
      <c r="H320" s="6" t="inlineStr">
        <is>
          <t>모바일 앱(RN)</t>
        </is>
      </c>
      <c r="I320" s="33" t="inlineStr">
        <is>
          <t>자기표현 위자드 4스텝(풀스크린). 참고: docs/06 §6 Flow-1, wireframes/mobile/05-m-self-expression.svg</t>
        </is>
      </c>
    </row>
    <row r="321">
      <c r="A321" s="10" t="n">
        <v>16</v>
      </c>
      <c r="B321" s="5" t="inlineStr">
        <is>
          <t>16.3.3</t>
        </is>
      </c>
      <c r="C321" s="6" t="inlineStr">
        <is>
          <t>P-10 내 기록(분야 그리드)</t>
        </is>
      </c>
      <c r="D321" s="6" t="inlineStr">
        <is>
          <t>—</t>
        </is>
      </c>
      <c r="E321" s="5" t="inlineStr">
        <is>
          <t>S</t>
        </is>
      </c>
      <c r="F321" s="5" t="n">
        <v>1</v>
      </c>
      <c r="G321" s="7" t="inlineStr">
        <is>
          <t>P0</t>
        </is>
      </c>
      <c r="H321" s="6" t="inlineStr">
        <is>
          <t>모바일 앱(RN)</t>
        </is>
      </c>
      <c r="I321" s="33" t="inlineStr">
        <is>
          <t>내 기록(분야 그리드). 참고: wireframes/mobile/13-m-person-records.svg</t>
        </is>
      </c>
    </row>
    <row r="322">
      <c r="A322" s="10" t="n">
        <v>16</v>
      </c>
      <c r="B322" s="5" t="inlineStr">
        <is>
          <t>16.3.4</t>
        </is>
      </c>
      <c r="C322" s="6" t="inlineStr">
        <is>
          <t>P-11 기록 상세(쉬운 요약)</t>
        </is>
      </c>
      <c r="D322" s="6" t="inlineStr">
        <is>
          <t>—</t>
        </is>
      </c>
      <c r="E322" s="5" t="inlineStr">
        <is>
          <t>M</t>
        </is>
      </c>
      <c r="F322" s="5" t="n">
        <v>2.5</v>
      </c>
      <c r="G322" s="7" t="inlineStr">
        <is>
          <t>P0</t>
        </is>
      </c>
      <c r="H322" s="6" t="inlineStr">
        <is>
          <t>모바일 앱(RN)</t>
        </is>
      </c>
      <c r="I322" s="33" t="inlineStr">
        <is>
          <t>기록 상세(쉬운 요약). 참고: wireframes/mobile/14-m-person-record-detail.svg</t>
        </is>
      </c>
    </row>
    <row r="323">
      <c r="A323" s="10" t="n">
        <v>16</v>
      </c>
      <c r="B323" s="5" t="inlineStr">
        <is>
          <t>16.3.5</t>
        </is>
      </c>
      <c r="C323" s="6" t="inlineStr">
        <is>
          <t>P-20 설정(큰 카드)</t>
        </is>
      </c>
      <c r="D323" s="6" t="inlineStr">
        <is>
          <t>—</t>
        </is>
      </c>
      <c r="E323" s="5" t="inlineStr">
        <is>
          <t>S</t>
        </is>
      </c>
      <c r="F323" s="5" t="n">
        <v>1</v>
      </c>
      <c r="G323" s="7" t="inlineStr">
        <is>
          <t>P0</t>
        </is>
      </c>
      <c r="H323" s="6" t="inlineStr">
        <is>
          <t>모바일 앱(RN)</t>
        </is>
      </c>
      <c r="I323" s="33" t="inlineStr">
        <is>
          <t>설정(큰 카드). 참고: wireframes/mobile/15-m-person-settings.svg</t>
        </is>
      </c>
    </row>
    <row r="324">
      <c r="A324" s="10" t="n">
        <v>16</v>
      </c>
      <c r="B324" s="5" t="inlineStr">
        <is>
          <t>16.4.1</t>
        </is>
      </c>
      <c r="C324" s="6" t="inlineStr">
        <is>
          <t>S-01 홈(대형 일지 CTA)</t>
        </is>
      </c>
      <c r="D324" s="6" t="inlineStr">
        <is>
          <t>—</t>
        </is>
      </c>
      <c r="E324" s="5" t="inlineStr">
        <is>
          <t>M</t>
        </is>
      </c>
      <c r="F324" s="5" t="n">
        <v>2.5</v>
      </c>
      <c r="G324" s="7" t="inlineStr">
        <is>
          <t>P0</t>
        </is>
      </c>
      <c r="H324" s="6" t="inlineStr">
        <is>
          <t>모바일 앱(RN)</t>
        </is>
      </c>
      <c r="I324" s="33" t="inlineStr">
        <is>
          <t>활동지원사 홈(대형 일지 CTA). 참고: wireframes/mobile/16-m-supporter-home.svg</t>
        </is>
      </c>
    </row>
    <row r="325">
      <c r="A325" s="10" t="n">
        <v>16</v>
      </c>
      <c r="B325" s="5" t="inlineStr">
        <is>
          <t>16.4.2</t>
        </is>
      </c>
      <c r="C325" s="6" t="inlineStr">
        <is>
          <t>S-12 일지 작성 위자드(5 step)</t>
        </is>
      </c>
      <c r="D325" s="6" t="inlineStr">
        <is>
          <t>—</t>
        </is>
      </c>
      <c r="E325" s="5" t="inlineStr">
        <is>
          <t>XL</t>
        </is>
      </c>
      <c r="F325" s="5" t="n">
        <v>7</v>
      </c>
      <c r="G325" s="7" t="inlineStr">
        <is>
          <t>P0</t>
        </is>
      </c>
      <c r="H325" s="6" t="inlineStr">
        <is>
          <t>모바일 앱(RN)</t>
        </is>
      </c>
      <c r="I325" s="33" t="inlineStr">
        <is>
          <t>일지 작성 위자드 5스텝. 참고: wireframes/mobile/17-m-supporter-journal-form.svg</t>
        </is>
      </c>
    </row>
    <row r="326">
      <c r="A326" s="10" t="n">
        <v>16</v>
      </c>
      <c r="B326" s="5" t="inlineStr">
        <is>
          <t>16.4.3</t>
        </is>
      </c>
      <c r="C326" s="6" t="inlineStr">
        <is>
          <t>S-20 인수인계 목록</t>
        </is>
      </c>
      <c r="D326" s="6" t="inlineStr">
        <is>
          <t>—</t>
        </is>
      </c>
      <c r="E326" s="5" t="inlineStr">
        <is>
          <t>S</t>
        </is>
      </c>
      <c r="F326" s="5" t="n">
        <v>1</v>
      </c>
      <c r="G326" s="7" t="inlineStr">
        <is>
          <t>P0</t>
        </is>
      </c>
      <c r="H326" s="6" t="inlineStr">
        <is>
          <t>모바일 앱(RN)</t>
        </is>
      </c>
      <c r="I326" s="33" t="inlineStr">
        <is>
          <t>인수인계 목록. 참고: wireframes/mobile/18-m-supporter-handover.svg</t>
        </is>
      </c>
    </row>
    <row r="327">
      <c r="A327" s="10" t="n">
        <v>16</v>
      </c>
      <c r="B327" s="5" t="inlineStr">
        <is>
          <t>16.5.1</t>
        </is>
      </c>
      <c r="C327" s="6" t="inlineStr">
        <is>
          <t>T-01 교사 홈</t>
        </is>
      </c>
      <c r="D327" s="6" t="inlineStr">
        <is>
          <t>—</t>
        </is>
      </c>
      <c r="E327" s="5" t="inlineStr">
        <is>
          <t>M</t>
        </is>
      </c>
      <c r="F327" s="5" t="n">
        <v>2.5</v>
      </c>
      <c r="G327" s="7" t="inlineStr">
        <is>
          <t>P0</t>
        </is>
      </c>
      <c r="H327" s="6" t="inlineStr">
        <is>
          <t>모바일 앱(RN)</t>
        </is>
      </c>
      <c r="I327" s="33" t="inlineStr">
        <is>
          <t>교사 홈. 참고: wireframes/mobile/19-m-teacher-home.svg</t>
        </is>
      </c>
    </row>
    <row r="328">
      <c r="A328" s="10" t="n">
        <v>16</v>
      </c>
      <c r="B328" s="5" t="inlineStr">
        <is>
          <t>16.5.2</t>
        </is>
      </c>
      <c r="C328" s="6" t="inlineStr">
        <is>
          <t>T-12 IEP 상세</t>
        </is>
      </c>
      <c r="D328" s="6" t="inlineStr">
        <is>
          <t>—</t>
        </is>
      </c>
      <c r="E328" s="5" t="inlineStr">
        <is>
          <t>M</t>
        </is>
      </c>
      <c r="F328" s="5" t="n">
        <v>2.5</v>
      </c>
      <c r="G328" s="7" t="inlineStr">
        <is>
          <t>P0</t>
        </is>
      </c>
      <c r="H328" s="6" t="inlineStr">
        <is>
          <t>모바일 앱(RN)</t>
        </is>
      </c>
      <c r="I328" s="33" t="inlineStr">
        <is>
          <t>IEP 상세. 참고: wireframes/mobile/20-m-teacher-iep-detail.svg</t>
        </is>
      </c>
    </row>
    <row r="329">
      <c r="A329" s="10" t="n">
        <v>16</v>
      </c>
      <c r="B329" s="5" t="inlineStr">
        <is>
          <t>16.5.3</t>
        </is>
      </c>
      <c r="C329" s="6" t="inlineStr">
        <is>
          <t>W-01 복지사 홈</t>
        </is>
      </c>
      <c r="D329" s="6" t="inlineStr">
        <is>
          <t>—</t>
        </is>
      </c>
      <c r="E329" s="5" t="inlineStr">
        <is>
          <t>M</t>
        </is>
      </c>
      <c r="F329" s="5" t="n">
        <v>2.5</v>
      </c>
      <c r="G329" s="7" t="inlineStr">
        <is>
          <t>P0</t>
        </is>
      </c>
      <c r="H329" s="6" t="inlineStr">
        <is>
          <t>모바일 앱(RN)</t>
        </is>
      </c>
      <c r="I329" s="33" t="inlineStr">
        <is>
          <t>복지사 홈. 참고: wireframes/mobile/21-m-worker-home.svg</t>
        </is>
      </c>
    </row>
    <row r="330">
      <c r="A330" s="10" t="n">
        <v>16</v>
      </c>
      <c r="B330" s="5" t="inlineStr">
        <is>
          <t>16.5.4</t>
        </is>
      </c>
      <c r="C330" s="6" t="inlineStr">
        <is>
          <t>W-12 ISP 상세</t>
        </is>
      </c>
      <c r="D330" s="6" t="inlineStr">
        <is>
          <t>—</t>
        </is>
      </c>
      <c r="E330" s="5" t="inlineStr">
        <is>
          <t>M</t>
        </is>
      </c>
      <c r="F330" s="5" t="n">
        <v>2.5</v>
      </c>
      <c r="G330" s="7" t="inlineStr">
        <is>
          <t>P0</t>
        </is>
      </c>
      <c r="H330" s="6" t="inlineStr">
        <is>
          <t>모바일 앱(RN)</t>
        </is>
      </c>
      <c r="I330" s="33" t="inlineStr">
        <is>
          <t>ISP 상세. 참고: wireframes/mobile/22-m-worker-isp-detail.svg</t>
        </is>
      </c>
    </row>
    <row r="331">
      <c r="A331" s="10" t="n">
        <v>16</v>
      </c>
      <c r="B331" s="5" t="inlineStr">
        <is>
          <t>16.5.5</t>
        </is>
      </c>
      <c r="C331" s="6" t="inlineStr">
        <is>
          <t>TH-01 치료사 홈</t>
        </is>
      </c>
      <c r="D331" s="6" t="inlineStr">
        <is>
          <t>—</t>
        </is>
      </c>
      <c r="E331" s="5" t="inlineStr">
        <is>
          <t>M</t>
        </is>
      </c>
      <c r="F331" s="5" t="n">
        <v>2.5</v>
      </c>
      <c r="G331" s="7" t="inlineStr">
        <is>
          <t>P0</t>
        </is>
      </c>
      <c r="H331" s="6" t="inlineStr">
        <is>
          <t>모바일 앱(RN)</t>
        </is>
      </c>
      <c r="I331" s="33" t="inlineStr">
        <is>
          <t>치료사 홈. 참고: wireframes/mobile/23-m-therapist-home.svg</t>
        </is>
      </c>
    </row>
    <row r="332">
      <c r="A332" s="10" t="n">
        <v>16</v>
      </c>
      <c r="B332" s="5" t="inlineStr">
        <is>
          <t>16.5.6</t>
        </is>
      </c>
      <c r="C332" s="6" t="inlineStr">
        <is>
          <t>TH-15 회기 일지 작성</t>
        </is>
      </c>
      <c r="D332" s="6" t="inlineStr">
        <is>
          <t>—</t>
        </is>
      </c>
      <c r="E332" s="5" t="inlineStr">
        <is>
          <t>M</t>
        </is>
      </c>
      <c r="F332" s="5" t="n">
        <v>2.5</v>
      </c>
      <c r="G332" s="7" t="inlineStr">
        <is>
          <t>P0</t>
        </is>
      </c>
      <c r="H332" s="6" t="inlineStr">
        <is>
          <t>모바일 앱(RN)</t>
        </is>
      </c>
      <c r="I332" s="33" t="inlineStr">
        <is>
          <t>회기 일지 작성. 참고: wireframes/mobile/24-m-therapist-session.svg</t>
        </is>
      </c>
    </row>
    <row r="333">
      <c r="A333" s="10" t="n">
        <v>16</v>
      </c>
      <c r="B333" s="5" t="inlineStr">
        <is>
          <t>16.6.1</t>
        </is>
      </c>
      <c r="C333" s="6" t="inlineStr">
        <is>
          <t>FCM 푸시 알림 통합</t>
        </is>
      </c>
      <c r="D333" s="6" t="inlineStr">
        <is>
          <t>—</t>
        </is>
      </c>
      <c r="E333" s="5" t="inlineStr">
        <is>
          <t>M</t>
        </is>
      </c>
      <c r="F333" s="5" t="n">
        <v>2.5</v>
      </c>
      <c r="G333" s="7" t="inlineStr">
        <is>
          <t>P0</t>
        </is>
      </c>
      <c r="H333" s="6" t="inlineStr">
        <is>
          <t>모바일 앱(RN)</t>
        </is>
      </c>
      <c r="I333" s="33" t="inlineStr">
        <is>
          <t>FCM 푸시 알림 통합(토큰 등록·수신). 참고: docs/05 §8 알림, docs/08-wbs.md §10.2.1·§10.2.8</t>
        </is>
      </c>
    </row>
    <row r="334">
      <c r="A334" s="10" t="n">
        <v>16</v>
      </c>
      <c r="B334" s="5" t="inlineStr">
        <is>
          <t>16.6.2</t>
        </is>
      </c>
      <c r="C334" s="6" t="inlineStr">
        <is>
          <t>카메라/갤러리(사진 첨부)</t>
        </is>
      </c>
      <c r="D334" s="6" t="inlineStr">
        <is>
          <t>—</t>
        </is>
      </c>
      <c r="E334" s="5" t="inlineStr">
        <is>
          <t>M</t>
        </is>
      </c>
      <c r="F334" s="5" t="n">
        <v>2.5</v>
      </c>
      <c r="G334" s="7" t="inlineStr">
        <is>
          <t>P0</t>
        </is>
      </c>
      <c r="H334" s="6" t="inlineStr">
        <is>
          <t>모바일 앱(RN)</t>
        </is>
      </c>
      <c r="I334" s="33" t="inlineStr">
        <is>
          <t>카메라/갤러리 사진 첨부. 참고: docs/05 §5 파일 첨부</t>
        </is>
      </c>
    </row>
    <row r="335">
      <c r="A335" s="10" t="n">
        <v>16</v>
      </c>
      <c r="B335" s="5" t="inlineStr">
        <is>
          <t>16.6.3</t>
        </is>
      </c>
      <c r="C335" s="6" t="inlineStr">
        <is>
          <t>음성 메모 녹음</t>
        </is>
      </c>
      <c r="D335" s="6" t="inlineStr">
        <is>
          <t>—</t>
        </is>
      </c>
      <c r="E335" s="5" t="inlineStr">
        <is>
          <t>M</t>
        </is>
      </c>
      <c r="F335" s="5" t="n">
        <v>2.5</v>
      </c>
      <c r="G335" s="8" t="inlineStr">
        <is>
          <t>P1</t>
        </is>
      </c>
      <c r="H335" s="6" t="inlineStr">
        <is>
          <t>모바일 앱(RN)</t>
        </is>
      </c>
      <c r="I335" s="33" t="inlineStr">
        <is>
          <t>음성 메모 녹음(P1). 참고: docs/08-wbs.md §6.6</t>
        </is>
      </c>
    </row>
    <row r="336">
      <c r="A336" s="10" t="n">
        <v>16</v>
      </c>
      <c r="B336" s="5" t="inlineStr">
        <is>
          <t>16.6.4</t>
        </is>
      </c>
      <c r="C336" s="6" t="inlineStr">
        <is>
          <t>일지 오프라인 임시저장(AsyncStorage)</t>
        </is>
      </c>
      <c r="D336" s="6" t="inlineStr">
        <is>
          <t>—</t>
        </is>
      </c>
      <c r="E336" s="5" t="inlineStr">
        <is>
          <t>L</t>
        </is>
      </c>
      <c r="F336" s="5" t="n">
        <v>5</v>
      </c>
      <c r="G336" s="7" t="inlineStr">
        <is>
          <t>P0</t>
        </is>
      </c>
      <c r="H336" s="6" t="inlineStr">
        <is>
          <t>모바일 앱(RN)</t>
        </is>
      </c>
      <c r="I336" s="33" t="inlineStr">
        <is>
          <t>일지 오프라인 임시저장(AsyncStorage) 후 동기화. 참고: docs/04 §3 활동지원사</t>
        </is>
      </c>
    </row>
    <row r="337">
      <c r="A337" s="10" t="n">
        <v>16</v>
      </c>
      <c r="B337" s="5" t="inlineStr">
        <is>
          <t>16.6.5</t>
        </is>
      </c>
      <c r="C337" s="6" t="inlineStr">
        <is>
          <t>생체 인증(Face ID/지문)</t>
        </is>
      </c>
      <c r="D337" s="6" t="inlineStr">
        <is>
          <t>—</t>
        </is>
      </c>
      <c r="E337" s="5" t="inlineStr">
        <is>
          <t>M</t>
        </is>
      </c>
      <c r="F337" s="5" t="n">
        <v>2.5</v>
      </c>
      <c r="G337" s="7" t="inlineStr">
        <is>
          <t>P0</t>
        </is>
      </c>
      <c r="H337" s="6" t="inlineStr">
        <is>
          <t>모바일 앱(RN)</t>
        </is>
      </c>
      <c r="I337" s="33" t="inlineStr">
        <is>
          <t>생체 인증(Face ID/지문) — 민감정보 보호. 참고: docs/08-wbs.md §17.2.5</t>
        </is>
      </c>
    </row>
    <row r="338">
      <c r="A338" s="10" t="n">
        <v>16</v>
      </c>
      <c r="B338" s="5" t="inlineStr">
        <is>
          <t>16.6.6</t>
        </is>
      </c>
      <c r="C338" s="6" t="inlineStr">
        <is>
          <t>Deep Link 라우팅(초대 등)</t>
        </is>
      </c>
      <c r="D338" s="6" t="inlineStr">
        <is>
          <t>—</t>
        </is>
      </c>
      <c r="E338" s="5" t="inlineStr">
        <is>
          <t>M</t>
        </is>
      </c>
      <c r="F338" s="5" t="n">
        <v>2.5</v>
      </c>
      <c r="G338" s="7" t="inlineStr">
        <is>
          <t>P0</t>
        </is>
      </c>
      <c r="H338" s="6" t="inlineStr">
        <is>
          <t>모바일 앱(RN)</t>
        </is>
      </c>
      <c r="I338" s="33" t="inlineStr">
        <is>
          <t>Deep Link 라우팅(초대·알림 진입). 참고: docs/08-wbs.md §16.1.4</t>
        </is>
      </c>
    </row>
    <row r="339">
      <c r="A339" s="10" t="n">
        <v>16</v>
      </c>
      <c r="B339" s="5" t="inlineStr">
        <is>
          <t>16.6.7</t>
        </is>
      </c>
      <c r="C339" s="6" t="inlineStr">
        <is>
          <t>OTA 업데이트(Expo Updates)</t>
        </is>
      </c>
      <c r="D339" s="6" t="inlineStr">
        <is>
          <t>—</t>
        </is>
      </c>
      <c r="E339" s="5" t="inlineStr">
        <is>
          <t>S</t>
        </is>
      </c>
      <c r="F339" s="5" t="n">
        <v>1</v>
      </c>
      <c r="G339" s="8" t="inlineStr">
        <is>
          <t>P1</t>
        </is>
      </c>
      <c r="H339" s="6" t="inlineStr">
        <is>
          <t>모바일 앱(RN)</t>
        </is>
      </c>
      <c r="I339" s="33" t="inlineStr">
        <is>
          <t>OTA 업데이트(Expo Updates, P1).</t>
        </is>
      </c>
    </row>
    <row r="340">
      <c r="A340" s="25" t="n">
        <v>17</v>
      </c>
      <c r="B340" s="5" t="inlineStr">
        <is>
          <t>17.1.1</t>
        </is>
      </c>
      <c r="C340" s="6" t="inlineStr">
        <is>
          <t>메타 태그(랜딩 페이지)</t>
        </is>
      </c>
      <c r="D340" s="6" t="inlineStr">
        <is>
          <t>—</t>
        </is>
      </c>
      <c r="E340" s="5" t="inlineStr">
        <is>
          <t>XS</t>
        </is>
      </c>
      <c r="F340" s="5" t="n">
        <v>0.5</v>
      </c>
      <c r="G340" s="8" t="inlineStr">
        <is>
          <t>P1</t>
        </is>
      </c>
      <c r="H340" s="6" t="inlineStr">
        <is>
          <t>SEO·보안·접근성</t>
        </is>
      </c>
      <c r="I340" s="33" t="inlineStr">
        <is>
          <t>랜딩 페이지 메타 태그(P1).</t>
        </is>
      </c>
    </row>
    <row r="341">
      <c r="A341" s="25" t="n">
        <v>17</v>
      </c>
      <c r="B341" s="5" t="inlineStr">
        <is>
          <t>17.1.2</t>
        </is>
      </c>
      <c r="C341" s="6" t="inlineStr">
        <is>
          <t>Sitemap·robots.txt</t>
        </is>
      </c>
      <c r="D341" s="6" t="inlineStr">
        <is>
          <t>—</t>
        </is>
      </c>
      <c r="E341" s="5" t="inlineStr">
        <is>
          <t>XS</t>
        </is>
      </c>
      <c r="F341" s="5" t="n">
        <v>0.5</v>
      </c>
      <c r="G341" s="8" t="inlineStr">
        <is>
          <t>P1</t>
        </is>
      </c>
      <c r="H341" s="6" t="inlineStr">
        <is>
          <t>SEO·보안·접근성</t>
        </is>
      </c>
      <c r="I341" s="33" t="inlineStr">
        <is>
          <t>Sitemap·robots.txt(P1).</t>
        </is>
      </c>
    </row>
    <row r="342">
      <c r="A342" s="25" t="n">
        <v>17</v>
      </c>
      <c r="B342" s="5" t="inlineStr">
        <is>
          <t>17.1.3</t>
        </is>
      </c>
      <c r="C342" s="6" t="inlineStr">
        <is>
          <t>OG 이미지·소셜 미리보기</t>
        </is>
      </c>
      <c r="D342" s="6" t="inlineStr">
        <is>
          <t>—</t>
        </is>
      </c>
      <c r="E342" s="5" t="inlineStr">
        <is>
          <t>S</t>
        </is>
      </c>
      <c r="F342" s="5" t="n">
        <v>1</v>
      </c>
      <c r="G342" s="9" t="inlineStr">
        <is>
          <t>P2</t>
        </is>
      </c>
      <c r="H342" s="6" t="inlineStr">
        <is>
          <t>SEO·보안·접근성</t>
        </is>
      </c>
      <c r="I342" s="33" t="inlineStr">
        <is>
          <t>OG 이미지·소셜 미리보기(P2).</t>
        </is>
      </c>
    </row>
    <row r="343">
      <c r="A343" s="25" t="n">
        <v>17</v>
      </c>
      <c r="B343" s="5" t="inlineStr">
        <is>
          <t>17.2.1</t>
        </is>
      </c>
      <c r="C343" s="6" t="inlineStr">
        <is>
          <t>OWASP Top 10 자체 점검</t>
        </is>
      </c>
      <c r="D343" s="6" t="inlineStr">
        <is>
          <t>—</t>
        </is>
      </c>
      <c r="E343" s="5" t="inlineStr">
        <is>
          <t>M</t>
        </is>
      </c>
      <c r="F343" s="5" t="n">
        <v>2.5</v>
      </c>
      <c r="G343" s="7" t="inlineStr">
        <is>
          <t>P0</t>
        </is>
      </c>
      <c r="H343" s="6" t="inlineStr">
        <is>
          <t>SEO·보안·접근성</t>
        </is>
      </c>
      <c r="I343" s="33" t="inlineStr">
        <is>
          <t>OWASP Top 10 자체 점검. 참고: docs/05 §11 시스템 보안 흐름, bkit:phase-7-seo-security 스킬</t>
        </is>
      </c>
    </row>
    <row r="344">
      <c r="A344" s="25" t="n">
        <v>17</v>
      </c>
      <c r="B344" s="5" t="inlineStr">
        <is>
          <t>17.2.2</t>
        </is>
      </c>
      <c r="C344" s="6" t="inlineStr">
        <is>
          <t>XSS 필터(입력값 sanitize)</t>
        </is>
      </c>
      <c r="D344" s="6" t="inlineStr">
        <is>
          <t>—</t>
        </is>
      </c>
      <c r="E344" s="5" t="inlineStr">
        <is>
          <t>S</t>
        </is>
      </c>
      <c r="F344" s="5" t="n">
        <v>1</v>
      </c>
      <c r="G344" s="7" t="inlineStr">
        <is>
          <t>P0</t>
        </is>
      </c>
      <c r="H344" s="6" t="inlineStr">
        <is>
          <t>SEO·보안·접근성</t>
        </is>
      </c>
      <c r="I344" s="33" t="inlineStr">
        <is>
          <t>XSS 방어 — 입력값 sanitize.</t>
        </is>
      </c>
    </row>
    <row r="345">
      <c r="A345" s="25" t="n">
        <v>17</v>
      </c>
      <c r="B345" s="5" t="inlineStr">
        <is>
          <t>17.2.3</t>
        </is>
      </c>
      <c r="C345" s="6" t="inlineStr">
        <is>
          <t>CSRF 토큰</t>
        </is>
      </c>
      <c r="D345" s="6" t="inlineStr">
        <is>
          <t>—</t>
        </is>
      </c>
      <c r="E345" s="5" t="inlineStr">
        <is>
          <t>S</t>
        </is>
      </c>
      <c r="F345" s="5" t="n">
        <v>1</v>
      </c>
      <c r="G345" s="7" t="inlineStr">
        <is>
          <t>P0</t>
        </is>
      </c>
      <c r="H345" s="6" t="inlineStr">
        <is>
          <t>SEO·보안·접근성</t>
        </is>
      </c>
      <c r="I345" s="33" t="inlineStr">
        <is>
          <t>CSRF 토큰 적용.</t>
        </is>
      </c>
    </row>
    <row r="346">
      <c r="A346" s="25" t="n">
        <v>17</v>
      </c>
      <c r="B346" s="5" t="inlineStr">
        <is>
          <t>17.2.4</t>
        </is>
      </c>
      <c r="C346" s="6" t="inlineStr">
        <is>
          <t>SQL Injection 방어 검증(RLS+Prisma)</t>
        </is>
      </c>
      <c r="D346" s="6" t="inlineStr">
        <is>
          <t>—</t>
        </is>
      </c>
      <c r="E346" s="5" t="inlineStr">
        <is>
          <t>S</t>
        </is>
      </c>
      <c r="F346" s="5" t="n">
        <v>1</v>
      </c>
      <c r="G346" s="7" t="inlineStr">
        <is>
          <t>P0</t>
        </is>
      </c>
      <c r="H346" s="6" t="inlineStr">
        <is>
          <t>SEO·보안·접근성</t>
        </is>
      </c>
      <c r="I346" s="33" t="inlineStr">
        <is>
          <t>SQL Injection 방어 검증(RLS + Prisma 파라미터화). 참고: docs/03 §RLS</t>
        </is>
      </c>
    </row>
    <row r="347">
      <c r="A347" s="25" t="n">
        <v>17</v>
      </c>
      <c r="B347" s="5" t="inlineStr">
        <is>
          <t>17.2.5</t>
        </is>
      </c>
      <c r="C347" s="6" t="inlineStr">
        <is>
          <t>응급정보 추가 인증(PIN/생체)</t>
        </is>
      </c>
      <c r="D347" s="6" t="inlineStr">
        <is>
          <t>—</t>
        </is>
      </c>
      <c r="E347" s="5" t="inlineStr">
        <is>
          <t>M</t>
        </is>
      </c>
      <c r="F347" s="5" t="n">
        <v>2.5</v>
      </c>
      <c r="G347" s="7" t="inlineStr">
        <is>
          <t>P0</t>
        </is>
      </c>
      <c r="H347" s="6" t="inlineStr">
        <is>
          <t>SEO·보안·접근성</t>
        </is>
      </c>
      <c r="I347" s="33" t="inlineStr">
        <is>
          <t>응급정보 접근 시 PIN/생체 추가 인증. 참고: docs/05 §11, docs/02 §3 JSONB(emergency)</t>
        </is>
      </c>
    </row>
    <row r="348">
      <c r="A348" s="25" t="n">
        <v>17</v>
      </c>
      <c r="B348" s="5" t="inlineStr">
        <is>
          <t>17.2.6</t>
        </is>
      </c>
      <c r="C348" s="6" t="inlineStr">
        <is>
          <t>민감 파일 다운로드 워터마킹</t>
        </is>
      </c>
      <c r="D348" s="6" t="inlineStr">
        <is>
          <t>—</t>
        </is>
      </c>
      <c r="E348" s="5" t="inlineStr">
        <is>
          <t>M</t>
        </is>
      </c>
      <c r="F348" s="5" t="n">
        <v>2.5</v>
      </c>
      <c r="G348" s="8" t="inlineStr">
        <is>
          <t>P1</t>
        </is>
      </c>
      <c r="H348" s="6" t="inlineStr">
        <is>
          <t>SEO·보안·접근성</t>
        </is>
      </c>
      <c r="I348" s="33" t="inlineStr">
        <is>
          <t>민감 파일 다운로드 워터마킹(P1).</t>
        </is>
      </c>
    </row>
    <row r="349">
      <c r="A349" s="25" t="n">
        <v>17</v>
      </c>
      <c r="B349" s="5" t="inlineStr">
        <is>
          <t>17.2.7</t>
        </is>
      </c>
      <c r="C349" s="6" t="inlineStr">
        <is>
          <t>Rate Limiting(API)</t>
        </is>
      </c>
      <c r="D349" s="6" t="inlineStr">
        <is>
          <t>—</t>
        </is>
      </c>
      <c r="E349" s="5" t="inlineStr">
        <is>
          <t>S</t>
        </is>
      </c>
      <c r="F349" s="5" t="n">
        <v>1</v>
      </c>
      <c r="G349" s="7" t="inlineStr">
        <is>
          <t>P0</t>
        </is>
      </c>
      <c r="H349" s="6" t="inlineStr">
        <is>
          <t>SEO·보안·접근성</t>
        </is>
      </c>
      <c r="I349" s="33" t="inlineStr">
        <is>
          <t>API Rate Limiting.</t>
        </is>
      </c>
    </row>
    <row r="350">
      <c r="A350" s="25" t="n">
        <v>17</v>
      </c>
      <c r="B350" s="5" t="inlineStr">
        <is>
          <t>17.2.8</t>
        </is>
      </c>
      <c r="C350" s="6" t="inlineStr">
        <is>
          <t>Audit log immutability(PostgreSQL)</t>
        </is>
      </c>
      <c r="D350" s="6" t="inlineStr">
        <is>
          <t>—</t>
        </is>
      </c>
      <c r="E350" s="5" t="inlineStr">
        <is>
          <t>S</t>
        </is>
      </c>
      <c r="F350" s="5" t="n">
        <v>1</v>
      </c>
      <c r="G350" s="7" t="inlineStr">
        <is>
          <t>P0</t>
        </is>
      </c>
      <c r="H350" s="6" t="inlineStr">
        <is>
          <t>SEO·보안·접근성</t>
        </is>
      </c>
      <c r="I350" s="33" t="inlineStr">
        <is>
          <t>Audit log 불변성(PostgreSQL append-only). 참고: docs/02 §2(access_logs), docs/03 §RLS</t>
        </is>
      </c>
    </row>
    <row r="351">
      <c r="A351" s="25" t="n">
        <v>17</v>
      </c>
      <c r="B351" s="5" t="inlineStr">
        <is>
          <t>17.3.1</t>
        </is>
      </c>
      <c r="C351" s="6" t="inlineStr">
        <is>
          <t>키보드 네비게이션</t>
        </is>
      </c>
      <c r="D351" s="6" t="inlineStr">
        <is>
          <t>—</t>
        </is>
      </c>
      <c r="E351" s="5" t="inlineStr">
        <is>
          <t>M</t>
        </is>
      </c>
      <c r="F351" s="5" t="n">
        <v>2.5</v>
      </c>
      <c r="G351" s="7" t="inlineStr">
        <is>
          <t>P0</t>
        </is>
      </c>
      <c r="H351" s="6" t="inlineStr">
        <is>
          <t>SEO·보안·접근성</t>
        </is>
      </c>
      <c r="I351" s="33" t="inlineStr">
        <is>
          <t>키보드 네비게이션(WCAG 2.1 AA). 참고: docs/07 §9 접근성</t>
        </is>
      </c>
    </row>
    <row r="352">
      <c r="A352" s="25" t="n">
        <v>17</v>
      </c>
      <c r="B352" s="5" t="inlineStr">
        <is>
          <t>17.3.2</t>
        </is>
      </c>
      <c r="C352" s="6" t="inlineStr">
        <is>
          <t>스크린 리더 호환(ARIA)</t>
        </is>
      </c>
      <c r="D352" s="6" t="inlineStr">
        <is>
          <t>—</t>
        </is>
      </c>
      <c r="E352" s="5" t="inlineStr">
        <is>
          <t>M</t>
        </is>
      </c>
      <c r="F352" s="5" t="n">
        <v>2.5</v>
      </c>
      <c r="G352" s="7" t="inlineStr">
        <is>
          <t>P0</t>
        </is>
      </c>
      <c r="H352" s="6" t="inlineStr">
        <is>
          <t>SEO·보안·접근성</t>
        </is>
      </c>
      <c r="I352" s="33" t="inlineStr">
        <is>
          <t>스크린 리더 호환(ARIA 레이블). 참고: docs/07 §9</t>
        </is>
      </c>
    </row>
    <row r="353">
      <c r="A353" s="25" t="n">
        <v>17</v>
      </c>
      <c r="B353" s="5" t="inlineStr">
        <is>
          <t>17.3.3</t>
        </is>
      </c>
      <c r="C353" s="6" t="inlineStr">
        <is>
          <t>컬러 대비 4.5:1 검증</t>
        </is>
      </c>
      <c r="D353" s="6" t="inlineStr">
        <is>
          <t>—</t>
        </is>
      </c>
      <c r="E353" s="5" t="inlineStr">
        <is>
          <t>S</t>
        </is>
      </c>
      <c r="F353" s="5" t="n">
        <v>1</v>
      </c>
      <c r="G353" s="7" t="inlineStr">
        <is>
          <t>P0</t>
        </is>
      </c>
      <c r="H353" s="6" t="inlineStr">
        <is>
          <t>SEO·보안·접근성</t>
        </is>
      </c>
      <c r="I353" s="33" t="inlineStr">
        <is>
          <t>컬러 대비 4.5:1 검증. 참고: docs/07 §1 컬러 시스템·§9</t>
        </is>
      </c>
    </row>
    <row r="354">
      <c r="A354" s="25" t="n">
        <v>17</v>
      </c>
      <c r="B354" s="5" t="inlineStr">
        <is>
          <t>17.3.4</t>
        </is>
      </c>
      <c r="C354" s="6" t="inlineStr">
        <is>
          <t>당사자 모드 — TTS 통합</t>
        </is>
      </c>
      <c r="D354" s="6" t="inlineStr">
        <is>
          <t>—</t>
        </is>
      </c>
      <c r="E354" s="5" t="inlineStr">
        <is>
          <t>M</t>
        </is>
      </c>
      <c r="F354" s="5" t="n">
        <v>2.5</v>
      </c>
      <c r="G354" s="7" t="inlineStr">
        <is>
          <t>P0</t>
        </is>
      </c>
      <c r="H354" s="6" t="inlineStr">
        <is>
          <t>SEO·보안·접근성</t>
        </is>
      </c>
      <c r="I354" s="33" t="inlineStr">
        <is>
          <t>당사자 모드 TTS 통합. 참고: docs/07 §9 당사자 접근성 모드</t>
        </is>
      </c>
    </row>
    <row r="355">
      <c r="A355" s="24" t="n">
        <v>18</v>
      </c>
      <c r="B355" s="5" t="inlineStr">
        <is>
          <t>18.1.1</t>
        </is>
      </c>
      <c r="C355" s="6" t="inlineStr">
        <is>
          <t>단위 테스트(Vitest, 핵심 70%)</t>
        </is>
      </c>
      <c r="D355" s="6" t="inlineStr">
        <is>
          <t>—</t>
        </is>
      </c>
      <c r="E355" s="5" t="inlineStr">
        <is>
          <t>L</t>
        </is>
      </c>
      <c r="F355" s="5" t="n">
        <v>5</v>
      </c>
      <c r="G355" s="7" t="inlineStr">
        <is>
          <t>P0</t>
        </is>
      </c>
      <c r="H355" s="6" t="inlineStr">
        <is>
          <t>QA·테스트</t>
        </is>
      </c>
      <c r="I355" s="33" t="inlineStr">
        <is>
          <t>단위 테스트(Vitest, 핵심 로직 70%).</t>
        </is>
      </c>
    </row>
    <row r="356">
      <c r="A356" s="24" t="n">
        <v>18</v>
      </c>
      <c r="B356" s="5" t="inlineStr">
        <is>
          <t>18.1.2</t>
        </is>
      </c>
      <c r="C356" s="6" t="inlineStr">
        <is>
          <t>API 통합 테스트(Supertest)</t>
        </is>
      </c>
      <c r="D356" s="6" t="inlineStr">
        <is>
          <t>—</t>
        </is>
      </c>
      <c r="E356" s="5" t="inlineStr">
        <is>
          <t>L</t>
        </is>
      </c>
      <c r="F356" s="5" t="n">
        <v>5</v>
      </c>
      <c r="G356" s="7" t="inlineStr">
        <is>
          <t>P0</t>
        </is>
      </c>
      <c r="H356" s="6" t="inlineStr">
        <is>
          <t>QA·테스트</t>
        </is>
      </c>
      <c r="I356" s="33" t="inlineStr">
        <is>
          <t>API 통합 테스트(Supertest). 참고: docs/05 워크플로우</t>
        </is>
      </c>
    </row>
    <row r="357">
      <c r="A357" s="24" t="n">
        <v>18</v>
      </c>
      <c r="B357" s="5" t="inlineStr">
        <is>
          <t>18.1.3</t>
        </is>
      </c>
      <c r="C357" s="6" t="inlineStr">
        <is>
          <t>E2E 테스트(Playwright, 5 플로우)</t>
        </is>
      </c>
      <c r="D357" s="6" t="inlineStr">
        <is>
          <t>—</t>
        </is>
      </c>
      <c r="E357" s="5" t="inlineStr">
        <is>
          <t>XL</t>
        </is>
      </c>
      <c r="F357" s="5" t="n">
        <v>7</v>
      </c>
      <c r="G357" s="7" t="inlineStr">
        <is>
          <t>P0</t>
        </is>
      </c>
      <c r="H357" s="6" t="inlineStr">
        <is>
          <t>QA·테스트</t>
        </is>
      </c>
      <c r="I357" s="33" t="inlineStr">
        <is>
          <t>E2E 테스트(Playwright, 5개 핵심 플로우). 참고: docs/06 §6 주요 플로우</t>
        </is>
      </c>
    </row>
    <row r="358">
      <c r="A358" s="24" t="n">
        <v>18</v>
      </c>
      <c r="B358" s="5" t="inlineStr">
        <is>
          <t>18.1.4</t>
        </is>
      </c>
      <c r="C358" s="6" t="inlineStr">
        <is>
          <t>RLS 정책 자동 검증(pgTAP)</t>
        </is>
      </c>
      <c r="D358" s="6" t="inlineStr">
        <is>
          <t>—</t>
        </is>
      </c>
      <c r="E358" s="5" t="inlineStr">
        <is>
          <t>L</t>
        </is>
      </c>
      <c r="F358" s="5" t="n">
        <v>5</v>
      </c>
      <c r="G358" s="7" t="inlineStr">
        <is>
          <t>P0</t>
        </is>
      </c>
      <c r="H358" s="6" t="inlineStr">
        <is>
          <t>QA·테스트</t>
        </is>
      </c>
      <c r="I358" s="33" t="inlineStr">
        <is>
          <t>RLS 정책 자동 검증(pgTAP). 참고: docs/03 §RLS 정책 요약</t>
        </is>
      </c>
    </row>
    <row r="359">
      <c r="A359" s="24" t="n">
        <v>18</v>
      </c>
      <c r="B359" s="5" t="inlineStr">
        <is>
          <t>18.1.5</t>
        </is>
      </c>
      <c r="C359" s="6" t="inlineStr">
        <is>
          <t>시각 회귀(Chromatic)</t>
        </is>
      </c>
      <c r="D359" s="6" t="inlineStr">
        <is>
          <t>—</t>
        </is>
      </c>
      <c r="E359" s="5" t="inlineStr">
        <is>
          <t>M</t>
        </is>
      </c>
      <c r="F359" s="5" t="n">
        <v>2.5</v>
      </c>
      <c r="G359" s="8" t="inlineStr">
        <is>
          <t>P1</t>
        </is>
      </c>
      <c r="H359" s="6" t="inlineStr">
        <is>
          <t>QA·테스트</t>
        </is>
      </c>
      <c r="I359" s="33" t="inlineStr">
        <is>
          <t>시각 회귀 테스트(Chromatic, P1). 참고: docs/07 디자인 시스템</t>
        </is>
      </c>
    </row>
    <row r="360">
      <c r="A360" s="24" t="n">
        <v>18</v>
      </c>
      <c r="B360" s="5" t="inlineStr">
        <is>
          <t>18.2.1</t>
        </is>
      </c>
      <c r="C360" s="6" t="inlineStr">
        <is>
          <t>보호자 — 가입~등록~권한 부여</t>
        </is>
      </c>
      <c r="D360" s="6" t="inlineStr">
        <is>
          <t>—</t>
        </is>
      </c>
      <c r="E360" s="5" t="inlineStr">
        <is>
          <t>M</t>
        </is>
      </c>
      <c r="F360" s="5" t="n">
        <v>2.5</v>
      </c>
      <c r="G360" s="7" t="inlineStr">
        <is>
          <t>P0</t>
        </is>
      </c>
      <c r="H360" s="6" t="inlineStr">
        <is>
          <t>QA·테스트</t>
        </is>
      </c>
      <c r="I360" s="33" t="inlineStr">
        <is>
          <t>보호자 시나리오 — 가입~당사자 등록~권한 부여. 참고: docs/04 §1 보호자, bkit:zero-script-qa 스킬</t>
        </is>
      </c>
    </row>
    <row r="361">
      <c r="A361" s="24" t="n">
        <v>18</v>
      </c>
      <c r="B361" s="5" t="inlineStr">
        <is>
          <t>18.2.2</t>
        </is>
      </c>
      <c r="C361" s="6" t="inlineStr">
        <is>
          <t>당사자 — 자기표현 5일 연속</t>
        </is>
      </c>
      <c r="D361" s="6" t="inlineStr">
        <is>
          <t>—</t>
        </is>
      </c>
      <c r="E361" s="5" t="inlineStr">
        <is>
          <t>S</t>
        </is>
      </c>
      <c r="F361" s="5" t="n">
        <v>1</v>
      </c>
      <c r="G361" s="7" t="inlineStr">
        <is>
          <t>P0</t>
        </is>
      </c>
      <c r="H361" s="6" t="inlineStr">
        <is>
          <t>QA·테스트</t>
        </is>
      </c>
      <c r="I361" s="33" t="inlineStr">
        <is>
          <t>당사자 시나리오 — 자기표현 5일 연속. 참고: docs/04 §2 당사자</t>
        </is>
      </c>
    </row>
    <row r="362">
      <c r="A362" s="24" t="n">
        <v>18</v>
      </c>
      <c r="B362" s="5" t="inlineStr">
        <is>
          <t>18.2.3</t>
        </is>
      </c>
      <c r="C362" s="6" t="inlineStr">
        <is>
          <t>활동지원사 — 일지+인계 확인</t>
        </is>
      </c>
      <c r="D362" s="6" t="inlineStr">
        <is>
          <t>—</t>
        </is>
      </c>
      <c r="E362" s="5" t="inlineStr">
        <is>
          <t>M</t>
        </is>
      </c>
      <c r="F362" s="5" t="n">
        <v>2.5</v>
      </c>
      <c r="G362" s="7" t="inlineStr">
        <is>
          <t>P0</t>
        </is>
      </c>
      <c r="H362" s="6" t="inlineStr">
        <is>
          <t>QA·테스트</t>
        </is>
      </c>
      <c r="I362" s="33" t="inlineStr">
        <is>
          <t>활동지원사 시나리오 — 일지+인계 확인. 참고: docs/04 §3</t>
        </is>
      </c>
    </row>
    <row r="363">
      <c r="A363" s="24" t="n">
        <v>18</v>
      </c>
      <c r="B363" s="5" t="inlineStr">
        <is>
          <t>18.2.4</t>
        </is>
      </c>
      <c r="C363" s="6" t="inlineStr">
        <is>
          <t>특수교사 — IEP 작성+점검</t>
        </is>
      </c>
      <c r="D363" s="6" t="inlineStr">
        <is>
          <t>—</t>
        </is>
      </c>
      <c r="E363" s="5" t="inlineStr">
        <is>
          <t>M</t>
        </is>
      </c>
      <c r="F363" s="5" t="n">
        <v>2.5</v>
      </c>
      <c r="G363" s="7" t="inlineStr">
        <is>
          <t>P0</t>
        </is>
      </c>
      <c r="H363" s="6" t="inlineStr">
        <is>
          <t>QA·테스트</t>
        </is>
      </c>
      <c r="I363" s="33" t="inlineStr">
        <is>
          <t>특수교사 시나리오 — IEP 작성+점검. 참고: docs/04 §4</t>
        </is>
      </c>
    </row>
    <row r="364">
      <c r="A364" s="24" t="n">
        <v>18</v>
      </c>
      <c r="B364" s="5" t="inlineStr">
        <is>
          <t>18.2.5</t>
        </is>
      </c>
      <c r="C364" s="6" t="inlineStr">
        <is>
          <t>사회복지사 — ISP·전환계획</t>
        </is>
      </c>
      <c r="D364" s="6" t="inlineStr">
        <is>
          <t>—</t>
        </is>
      </c>
      <c r="E364" s="5" t="inlineStr">
        <is>
          <t>M</t>
        </is>
      </c>
      <c r="F364" s="5" t="n">
        <v>2.5</v>
      </c>
      <c r="G364" s="7" t="inlineStr">
        <is>
          <t>P0</t>
        </is>
      </c>
      <c r="H364" s="6" t="inlineStr">
        <is>
          <t>QA·테스트</t>
        </is>
      </c>
      <c r="I364" s="33" t="inlineStr">
        <is>
          <t>사회복지사 시나리오 — ISP·전환계획. 참고: docs/04 §5</t>
        </is>
      </c>
    </row>
    <row r="365">
      <c r="A365" s="24" t="n">
        <v>18</v>
      </c>
      <c r="B365" s="5" t="inlineStr">
        <is>
          <t>18.2.6</t>
        </is>
      </c>
      <c r="C365" s="6" t="inlineStr">
        <is>
          <t>치료사 — 계획서+회기+평가 사이클</t>
        </is>
      </c>
      <c r="D365" s="6" t="inlineStr">
        <is>
          <t>—</t>
        </is>
      </c>
      <c r="E365" s="5" t="inlineStr">
        <is>
          <t>M</t>
        </is>
      </c>
      <c r="F365" s="5" t="n">
        <v>2.5</v>
      </c>
      <c r="G365" s="7" t="inlineStr">
        <is>
          <t>P0</t>
        </is>
      </c>
      <c r="H365" s="6" t="inlineStr">
        <is>
          <t>QA·테스트</t>
        </is>
      </c>
      <c r="I365" s="33" t="inlineStr">
        <is>
          <t>치료사 시나리오 — 계획서+회기+평가 사이클. 참고: docs/04 §6</t>
        </is>
      </c>
    </row>
    <row r="366">
      <c r="A366" s="24" t="n">
        <v>18</v>
      </c>
      <c r="B366" s="5" t="inlineStr">
        <is>
          <t>18.2.7</t>
        </is>
      </c>
      <c r="C366" s="6" t="inlineStr">
        <is>
          <t>권한 외 접근 시도 차단 검증</t>
        </is>
      </c>
      <c r="D366" s="6" t="inlineStr">
        <is>
          <t>—</t>
        </is>
      </c>
      <c r="E366" s="5" t="inlineStr">
        <is>
          <t>M</t>
        </is>
      </c>
      <c r="F366" s="5" t="n">
        <v>2.5</v>
      </c>
      <c r="G366" s="7" t="inlineStr">
        <is>
          <t>P0</t>
        </is>
      </c>
      <c r="H366" s="6" t="inlineStr">
        <is>
          <t>QA·테스트</t>
        </is>
      </c>
      <c r="I366" s="33" t="inlineStr">
        <is>
          <t>권한 외 접근 차단 검증. 참고: docs/05 §11 보안 흐름</t>
        </is>
      </c>
    </row>
    <row r="367">
      <c r="A367" s="24" t="n">
        <v>18</v>
      </c>
      <c r="B367" s="5" t="inlineStr">
        <is>
          <t>18.2.8</t>
        </is>
      </c>
      <c r="C367" s="6" t="inlineStr">
        <is>
          <t>인수인계 권한 이양 검증</t>
        </is>
      </c>
      <c r="D367" s="6" t="inlineStr">
        <is>
          <t>—</t>
        </is>
      </c>
      <c r="E367" s="5" t="inlineStr">
        <is>
          <t>S</t>
        </is>
      </c>
      <c r="F367" s="5" t="n">
        <v>1</v>
      </c>
      <c r="G367" s="7" t="inlineStr">
        <is>
          <t>P0</t>
        </is>
      </c>
      <c r="H367" s="6" t="inlineStr">
        <is>
          <t>QA·테스트</t>
        </is>
      </c>
      <c r="I367" s="33" t="inlineStr">
        <is>
          <t>인수인계 권한 이양 검증. 참고: docs/05 §7</t>
        </is>
      </c>
    </row>
    <row r="368">
      <c r="A368" s="24" t="n">
        <v>18</v>
      </c>
      <c r="B368" s="5" t="inlineStr">
        <is>
          <t>18.3.1</t>
        </is>
      </c>
      <c r="C368" s="6" t="inlineStr">
        <is>
          <t>타임라인 응답(10k, p95&lt;500ms)</t>
        </is>
      </c>
      <c r="D368" s="6" t="inlineStr">
        <is>
          <t>—</t>
        </is>
      </c>
      <c r="E368" s="5" t="inlineStr">
        <is>
          <t>M</t>
        </is>
      </c>
      <c r="F368" s="5" t="n">
        <v>2.5</v>
      </c>
      <c r="G368" s="7" t="inlineStr">
        <is>
          <t>P0</t>
        </is>
      </c>
      <c r="H368" s="6" t="inlineStr">
        <is>
          <t>QA·테스트</t>
        </is>
      </c>
      <c r="I368" s="33" t="inlineStr">
        <is>
          <t>타임라인 응답 성능(10k 기록, p95&lt;500ms). 참고: docs/02 §5 인덱스 전략</t>
        </is>
      </c>
    </row>
    <row r="369">
      <c r="A369" s="24" t="n">
        <v>18</v>
      </c>
      <c r="B369" s="5" t="inlineStr">
        <is>
          <t>18.3.2</t>
        </is>
      </c>
      <c r="C369" s="6" t="inlineStr">
        <is>
          <t>권한 매트릭스 응답(p95&lt;300ms)</t>
        </is>
      </c>
      <c r="D369" s="6" t="inlineStr">
        <is>
          <t>—</t>
        </is>
      </c>
      <c r="E369" s="5" t="inlineStr">
        <is>
          <t>S</t>
        </is>
      </c>
      <c r="F369" s="5" t="n">
        <v>1</v>
      </c>
      <c r="G369" s="7" t="inlineStr">
        <is>
          <t>P0</t>
        </is>
      </c>
      <c r="H369" s="6" t="inlineStr">
        <is>
          <t>QA·테스트</t>
        </is>
      </c>
      <c r="I369" s="33" t="inlineStr">
        <is>
          <t>권한 매트릭스 응답(20명, p95&lt;300ms).</t>
        </is>
      </c>
    </row>
    <row r="370">
      <c r="A370" s="24" t="n">
        <v>18</v>
      </c>
      <c r="B370" s="5" t="inlineStr">
        <is>
          <t>18.3.3</t>
        </is>
      </c>
      <c r="C370" s="6" t="inlineStr">
        <is>
          <t>모바일 첫 화면 로드(LCP&lt;2.5s)</t>
        </is>
      </c>
      <c r="D370" s="6" t="inlineStr">
        <is>
          <t>—</t>
        </is>
      </c>
      <c r="E370" s="5" t="inlineStr">
        <is>
          <t>S</t>
        </is>
      </c>
      <c r="F370" s="5" t="n">
        <v>1</v>
      </c>
      <c r="G370" s="7" t="inlineStr">
        <is>
          <t>P0</t>
        </is>
      </c>
      <c r="H370" s="6" t="inlineStr">
        <is>
          <t>QA·테스트</t>
        </is>
      </c>
      <c r="I370" s="33" t="inlineStr">
        <is>
          <t>모바일 첫 화면 로드(LCP&lt;2.5s).</t>
        </is>
      </c>
    </row>
    <row r="371">
      <c r="A371" s="24" t="n">
        <v>18</v>
      </c>
      <c r="B371" s="5" t="inlineStr">
        <is>
          <t>18.3.4</t>
        </is>
      </c>
      <c r="C371" s="6" t="inlineStr">
        <is>
          <t>부하 테스트(100 동시 작성)</t>
        </is>
      </c>
      <c r="D371" s="6" t="inlineStr">
        <is>
          <t>—</t>
        </is>
      </c>
      <c r="E371" s="5" t="inlineStr">
        <is>
          <t>M</t>
        </is>
      </c>
      <c r="F371" s="5" t="n">
        <v>2.5</v>
      </c>
      <c r="G371" s="8" t="inlineStr">
        <is>
          <t>P1</t>
        </is>
      </c>
      <c r="H371" s="6" t="inlineStr">
        <is>
          <t>QA·테스트</t>
        </is>
      </c>
      <c r="I371" s="33" t="inlineStr">
        <is>
          <t>부하 테스트(100 동시 일지 작성, P1).</t>
        </is>
      </c>
    </row>
    <row r="372">
      <c r="A372" s="13" t="n">
        <v>19</v>
      </c>
      <c r="B372" s="5" t="inlineStr">
        <is>
          <t>19.1.1</t>
        </is>
      </c>
      <c r="C372" s="6" t="inlineStr">
        <is>
          <t>GitHub Actions — Lint·Type·Test</t>
        </is>
      </c>
      <c r="D372" s="6" t="inlineStr">
        <is>
          <t>—</t>
        </is>
      </c>
      <c r="E372" s="5" t="inlineStr">
        <is>
          <t>S</t>
        </is>
      </c>
      <c r="F372" s="5" t="n">
        <v>1</v>
      </c>
      <c r="G372" s="7" t="inlineStr">
        <is>
          <t>P0</t>
        </is>
      </c>
      <c r="H372" s="6" t="inlineStr">
        <is>
          <t>CI/CD·배포</t>
        </is>
      </c>
      <c r="I372" s="33" t="inlineStr">
        <is>
          <t>GitHub Actions — Lint·Type·Test 파이프라인. 참고: bkit:phase-9-deployment 스킬</t>
        </is>
      </c>
    </row>
    <row r="373">
      <c r="A373" s="13" t="n">
        <v>19</v>
      </c>
      <c r="B373" s="5" t="inlineStr">
        <is>
          <t>19.1.2</t>
        </is>
      </c>
      <c r="C373" s="6" t="inlineStr">
        <is>
          <t>PR 미리보기 환경(Vercel Preview)</t>
        </is>
      </c>
      <c r="D373" s="6" t="inlineStr">
        <is>
          <t>—</t>
        </is>
      </c>
      <c r="E373" s="5" t="inlineStr">
        <is>
          <t>S</t>
        </is>
      </c>
      <c r="F373" s="5" t="n">
        <v>1</v>
      </c>
      <c r="G373" s="7" t="inlineStr">
        <is>
          <t>P0</t>
        </is>
      </c>
      <c r="H373" s="6" t="inlineStr">
        <is>
          <t>CI/CD·배포</t>
        </is>
      </c>
      <c r="I373" s="33" t="inlineStr">
        <is>
          <t>PR 미리보기 환경(Vercel Preview).</t>
        </is>
      </c>
    </row>
    <row r="374">
      <c r="A374" s="13" t="n">
        <v>19</v>
      </c>
      <c r="B374" s="5" t="inlineStr">
        <is>
          <t>19.1.3</t>
        </is>
      </c>
      <c r="C374" s="6" t="inlineStr">
        <is>
          <t>DB 마이그레이션 검증(스테이징)</t>
        </is>
      </c>
      <c r="D374" s="6" t="inlineStr">
        <is>
          <t>—</t>
        </is>
      </c>
      <c r="E374" s="5" t="inlineStr">
        <is>
          <t>S</t>
        </is>
      </c>
      <c r="F374" s="5" t="n">
        <v>1</v>
      </c>
      <c r="G374" s="7" t="inlineStr">
        <is>
          <t>P0</t>
        </is>
      </c>
      <c r="H374" s="6" t="inlineStr">
        <is>
          <t>CI/CD·배포</t>
        </is>
      </c>
      <c r="I374" s="33" t="inlineStr">
        <is>
          <t>DB 마이그레이션 검증(스테이징).</t>
        </is>
      </c>
    </row>
    <row r="375">
      <c r="A375" s="13" t="n">
        <v>19</v>
      </c>
      <c r="B375" s="5" t="inlineStr">
        <is>
          <t>19.1.4</t>
        </is>
      </c>
      <c r="C375" s="6" t="inlineStr">
        <is>
          <t>모바일 EAS Build(iOS·Android)</t>
        </is>
      </c>
      <c r="D375" s="6" t="inlineStr">
        <is>
          <t>—</t>
        </is>
      </c>
      <c r="E375" s="5" t="inlineStr">
        <is>
          <t>M</t>
        </is>
      </c>
      <c r="F375" s="5" t="n">
        <v>2.5</v>
      </c>
      <c r="G375" s="7" t="inlineStr">
        <is>
          <t>P0</t>
        </is>
      </c>
      <c r="H375" s="6" t="inlineStr">
        <is>
          <t>CI/CD·배포</t>
        </is>
      </c>
      <c r="I375" s="33" t="inlineStr">
        <is>
          <t>모바일 EAS Build(iOS·Android).</t>
        </is>
      </c>
    </row>
    <row r="376">
      <c r="A376" s="13" t="n">
        <v>19</v>
      </c>
      <c r="B376" s="5" t="inlineStr">
        <is>
          <t>19.2.1</t>
        </is>
      </c>
      <c r="C376" s="6" t="inlineStr">
        <is>
          <t>dev 환경 자동 배포</t>
        </is>
      </c>
      <c r="D376" s="6" t="inlineStr">
        <is>
          <t>—</t>
        </is>
      </c>
      <c r="E376" s="5" t="inlineStr">
        <is>
          <t>S</t>
        </is>
      </c>
      <c r="F376" s="5" t="n">
        <v>1</v>
      </c>
      <c r="G376" s="7" t="inlineStr">
        <is>
          <t>P0</t>
        </is>
      </c>
      <c r="H376" s="6" t="inlineStr">
        <is>
          <t>CI/CD·배포</t>
        </is>
      </c>
      <c r="I376" s="33" t="inlineStr">
        <is>
          <t>dev 환경 자동 배포.</t>
        </is>
      </c>
    </row>
    <row r="377">
      <c r="A377" s="13" t="n">
        <v>19</v>
      </c>
      <c r="B377" s="5" t="inlineStr">
        <is>
          <t>19.2.2</t>
        </is>
      </c>
      <c r="C377" s="6" t="inlineStr">
        <is>
          <t>staging 환경(manual trigger)</t>
        </is>
      </c>
      <c r="D377" s="6" t="inlineStr">
        <is>
          <t>—</t>
        </is>
      </c>
      <c r="E377" s="5" t="inlineStr">
        <is>
          <t>S</t>
        </is>
      </c>
      <c r="F377" s="5" t="n">
        <v>1</v>
      </c>
      <c r="G377" s="7" t="inlineStr">
        <is>
          <t>P0</t>
        </is>
      </c>
      <c r="H377" s="6" t="inlineStr">
        <is>
          <t>CI/CD·배포</t>
        </is>
      </c>
      <c r="I377" s="33" t="inlineStr">
        <is>
          <t>staging 환경 수동 배포 트리거.</t>
        </is>
      </c>
    </row>
    <row r="378">
      <c r="A378" s="13" t="n">
        <v>19</v>
      </c>
      <c r="B378" s="5" t="inlineStr">
        <is>
          <t>19.2.3</t>
        </is>
      </c>
      <c r="C378" s="6" t="inlineStr">
        <is>
          <t>production 배포(승인 게이트)</t>
        </is>
      </c>
      <c r="D378" s="6" t="inlineStr">
        <is>
          <t>—</t>
        </is>
      </c>
      <c r="E378" s="5" t="inlineStr">
        <is>
          <t>M</t>
        </is>
      </c>
      <c r="F378" s="5" t="n">
        <v>2.5</v>
      </c>
      <c r="G378" s="7" t="inlineStr">
        <is>
          <t>P0</t>
        </is>
      </c>
      <c r="H378" s="6" t="inlineStr">
        <is>
          <t>CI/CD·배포</t>
        </is>
      </c>
      <c r="I378" s="33" t="inlineStr">
        <is>
          <t>production 배포(승인 게이트).</t>
        </is>
      </c>
    </row>
    <row r="379">
      <c r="A379" s="13" t="n">
        <v>19</v>
      </c>
      <c r="B379" s="5" t="inlineStr">
        <is>
          <t>19.2.4</t>
        </is>
      </c>
      <c r="C379" s="6" t="inlineStr">
        <is>
          <t>DB 백업 자동화(일 1회)</t>
        </is>
      </c>
      <c r="D379" s="6" t="inlineStr">
        <is>
          <t>—</t>
        </is>
      </c>
      <c r="E379" s="5" t="inlineStr">
        <is>
          <t>S</t>
        </is>
      </c>
      <c r="F379" s="5" t="n">
        <v>1</v>
      </c>
      <c r="G379" s="7" t="inlineStr">
        <is>
          <t>P0</t>
        </is>
      </c>
      <c r="H379" s="6" t="inlineStr">
        <is>
          <t>CI/CD·배포</t>
        </is>
      </c>
      <c r="I379" s="33" t="inlineStr">
        <is>
          <t>DB 백업 자동화(일 1회).</t>
        </is>
      </c>
    </row>
    <row r="380">
      <c r="A380" s="13" t="n">
        <v>19</v>
      </c>
      <c r="B380" s="5" t="inlineStr">
        <is>
          <t>19.2.5</t>
        </is>
      </c>
      <c r="C380" s="6" t="inlineStr">
        <is>
          <t>롤백 시나리오 문서</t>
        </is>
      </c>
      <c r="D380" s="6" t="inlineStr">
        <is>
          <t>—</t>
        </is>
      </c>
      <c r="E380" s="5" t="inlineStr">
        <is>
          <t>S</t>
        </is>
      </c>
      <c r="F380" s="5" t="n">
        <v>1</v>
      </c>
      <c r="G380" s="7" t="inlineStr">
        <is>
          <t>P0</t>
        </is>
      </c>
      <c r="H380" s="6" t="inlineStr">
        <is>
          <t>CI/CD·배포</t>
        </is>
      </c>
      <c r="I380" s="33" t="inlineStr">
        <is>
          <t>롤백 시나리오 문서. 참고: bkit:rollback 스킬</t>
        </is>
      </c>
    </row>
    <row r="381">
      <c r="A381" s="13" t="n">
        <v>19</v>
      </c>
      <c r="B381" s="5" t="inlineStr">
        <is>
          <t>19.3.1</t>
        </is>
      </c>
      <c r="C381" s="6" t="inlineStr">
        <is>
          <t>모니터링 대시보드(Grafana)</t>
        </is>
      </c>
      <c r="D381" s="6" t="inlineStr">
        <is>
          <t>—</t>
        </is>
      </c>
      <c r="E381" s="5" t="inlineStr">
        <is>
          <t>M</t>
        </is>
      </c>
      <c r="F381" s="5" t="n">
        <v>2.5</v>
      </c>
      <c r="G381" s="8" t="inlineStr">
        <is>
          <t>P1</t>
        </is>
      </c>
      <c r="H381" s="6" t="inlineStr">
        <is>
          <t>CI/CD·배포</t>
        </is>
      </c>
      <c r="I381" s="33" t="inlineStr">
        <is>
          <t>모니터링 대시보드(Grafana, P1).</t>
        </is>
      </c>
    </row>
    <row r="382">
      <c r="A382" s="13" t="n">
        <v>19</v>
      </c>
      <c r="B382" s="5" t="inlineStr">
        <is>
          <t>19.3.2</t>
        </is>
      </c>
      <c r="C382" s="6" t="inlineStr">
        <is>
          <t>알림 인프라(PagerDuty/Slack)</t>
        </is>
      </c>
      <c r="D382" s="6" t="inlineStr">
        <is>
          <t>—</t>
        </is>
      </c>
      <c r="E382" s="5" t="inlineStr">
        <is>
          <t>S</t>
        </is>
      </c>
      <c r="F382" s="5" t="n">
        <v>1</v>
      </c>
      <c r="G382" s="8" t="inlineStr">
        <is>
          <t>P1</t>
        </is>
      </c>
      <c r="H382" s="6" t="inlineStr">
        <is>
          <t>CI/CD·배포</t>
        </is>
      </c>
      <c r="I382" s="33" t="inlineStr">
        <is>
          <t>알림 인프라(PagerDuty/Slack, P1).</t>
        </is>
      </c>
    </row>
    <row r="383">
      <c r="A383" s="13" t="n">
        <v>19</v>
      </c>
      <c r="B383" s="5" t="inlineStr">
        <is>
          <t>19.3.3</t>
        </is>
      </c>
      <c r="C383" s="6" t="inlineStr">
        <is>
          <t>로그 통합(Loki/Datadog)</t>
        </is>
      </c>
      <c r="D383" s="6" t="inlineStr">
        <is>
          <t>—</t>
        </is>
      </c>
      <c r="E383" s="5" t="inlineStr">
        <is>
          <t>M</t>
        </is>
      </c>
      <c r="F383" s="5" t="n">
        <v>2.5</v>
      </c>
      <c r="G383" s="8" t="inlineStr">
        <is>
          <t>P1</t>
        </is>
      </c>
      <c r="H383" s="6" t="inlineStr">
        <is>
          <t>CI/CD·배포</t>
        </is>
      </c>
      <c r="I383" s="33" t="inlineStr">
        <is>
          <t>로그 통합(Loki/Datadog, P1).</t>
        </is>
      </c>
    </row>
    <row r="384">
      <c r="A384" s="13" t="n">
        <v>19</v>
      </c>
      <c r="B384" s="5" t="inlineStr">
        <is>
          <t>19.3.4</t>
        </is>
      </c>
      <c r="C384" s="6" t="inlineStr">
        <is>
          <t>보안 감사 분기별(외부)</t>
        </is>
      </c>
      <c r="D384" s="6" t="inlineStr">
        <is>
          <t>—</t>
        </is>
      </c>
      <c r="E384" s="5" t="inlineStr">
        <is>
          <t>M</t>
        </is>
      </c>
      <c r="F384" s="5" t="n">
        <v>2.5</v>
      </c>
      <c r="G384" s="8" t="inlineStr">
        <is>
          <t>P1</t>
        </is>
      </c>
      <c r="H384" s="6" t="inlineStr">
        <is>
          <t>CI/CD·배포</t>
        </is>
      </c>
      <c r="I384" s="33" t="inlineStr">
        <is>
          <t>분기별 외부 보안 감사(P1).</t>
        </is>
      </c>
    </row>
    <row r="385">
      <c r="A385" s="13" t="n">
        <v>19</v>
      </c>
      <c r="B385" s="5" t="inlineStr">
        <is>
          <t>19.3.5</t>
        </is>
      </c>
      <c r="C385" s="6" t="inlineStr">
        <is>
          <t>GDPR/개인정보보호법 응대 워크플로우</t>
        </is>
      </c>
      <c r="D385" s="6" t="inlineStr">
        <is>
          <t>—</t>
        </is>
      </c>
      <c r="E385" s="5" t="inlineStr">
        <is>
          <t>M</t>
        </is>
      </c>
      <c r="F385" s="5" t="n">
        <v>2.5</v>
      </c>
      <c r="G385" s="7" t="inlineStr">
        <is>
          <t>P0</t>
        </is>
      </c>
      <c r="H385" s="6" t="inlineStr">
        <is>
          <t>CI/CD·배포</t>
        </is>
      </c>
      <c r="I385" s="33" t="inlineStr">
        <is>
          <t>GDPR/개인정보보호법 응대 워크플로우(데이터 열람·삭제 요청).</t>
        </is>
      </c>
    </row>
    <row r="386">
      <c r="A386" s="26" t="n"/>
      <c r="B386" s="26" t="n"/>
      <c r="C386" s="27" t="inlineStr">
        <is>
          <t>합계</t>
        </is>
      </c>
      <c r="D386" s="26" t="n"/>
      <c r="E386" s="28">
        <f>COUNTA(B5:B385)</f>
        <v/>
      </c>
      <c r="F386" s="28">
        <f>SUM(F5:F385)</f>
        <v/>
      </c>
      <c r="G386" s="26" t="n"/>
      <c r="H386" s="26" t="n"/>
      <c r="I386" s="34" t="n"/>
    </row>
  </sheetData>
  <autoFilter ref="A4:I385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9" customWidth="1" min="4" max="4"/>
    <col width="7" customWidth="1" min="5" max="5"/>
    <col width="7" customWidth="1" min="6" max="6"/>
    <col width="8" customWidth="1" min="7" max="7"/>
    <col width="4.3" customWidth="1" min="8" max="8"/>
    <col width="4.3" customWidth="1" min="9" max="9"/>
    <col width="4.3" customWidth="1" min="10" max="10"/>
    <col width="4.3" customWidth="1" min="11" max="11"/>
    <col width="4.3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</cols>
  <sheetData>
    <row r="1" ht="28" customHeight="1">
      <c r="A1" s="1" t="inlineStr">
        <is>
          <t>OnDol 플랫폼 — Gantt Chart (16주 / 5인 팀)</t>
        </is>
      </c>
    </row>
    <row r="2">
      <c r="A2" s="2" t="inlineStr">
        <is>
          <t>작업수·공수(일)는 WBS 시트와 COUNTIF/SUMIF 수식으로 자동 연계됩니다.  ● 막대 = 진행 기간(주차)</t>
        </is>
      </c>
    </row>
    <row r="3">
      <c r="H3" s="29" t="inlineStr">
        <is>
          <t>1개월차</t>
        </is>
      </c>
      <c r="I3" s="35" t="n"/>
      <c r="J3" s="35" t="n"/>
      <c r="K3" s="36" t="n"/>
      <c r="L3" s="29" t="inlineStr">
        <is>
          <t>2개월차</t>
        </is>
      </c>
      <c r="M3" s="35" t="n"/>
      <c r="N3" s="35" t="n"/>
      <c r="O3" s="36" t="n"/>
      <c r="P3" s="29" t="inlineStr">
        <is>
          <t>3개월차</t>
        </is>
      </c>
      <c r="Q3" s="35" t="n"/>
      <c r="R3" s="35" t="n"/>
      <c r="S3" s="36" t="n"/>
      <c r="T3" s="29" t="inlineStr">
        <is>
          <t>4개월차</t>
        </is>
      </c>
      <c r="U3" s="35" t="n"/>
      <c r="V3" s="35" t="n"/>
      <c r="W3" s="36" t="n"/>
    </row>
    <row r="4" ht="20" customHeight="1">
      <c r="A4" s="31" t="inlineStr">
        <is>
          <t>Phase</t>
        </is>
      </c>
      <c r="B4" s="31" t="inlineStr">
        <is>
          <t>Phase 명</t>
        </is>
      </c>
      <c r="C4" s="31" t="inlineStr">
        <is>
          <t>작업수</t>
        </is>
      </c>
      <c r="D4" s="31" t="inlineStr">
        <is>
          <t>공수(일)</t>
        </is>
      </c>
      <c r="E4" s="31" t="inlineStr">
        <is>
          <t>시작주</t>
        </is>
      </c>
      <c r="F4" s="31" t="inlineStr">
        <is>
          <t>종료주</t>
        </is>
      </c>
      <c r="G4" s="31" t="inlineStr">
        <is>
          <t>기간(주)</t>
        </is>
      </c>
      <c r="H4" s="3" t="n">
        <v>1</v>
      </c>
      <c r="I4" s="3" t="n">
        <v>2</v>
      </c>
      <c r="J4" s="3" t="n">
        <v>3</v>
      </c>
      <c r="K4" s="3" t="n">
        <v>4</v>
      </c>
      <c r="L4" s="3" t="n">
        <v>5</v>
      </c>
      <c r="M4" s="3" t="n">
        <v>6</v>
      </c>
      <c r="N4" s="3" t="n">
        <v>7</v>
      </c>
      <c r="O4" s="3" t="n">
        <v>8</v>
      </c>
      <c r="P4" s="3" t="n">
        <v>9</v>
      </c>
      <c r="Q4" s="3" t="n">
        <v>10</v>
      </c>
      <c r="R4" s="3" t="n">
        <v>11</v>
      </c>
      <c r="S4" s="3" t="n">
        <v>12</v>
      </c>
      <c r="T4" s="3" t="n">
        <v>13</v>
      </c>
      <c r="U4" s="3" t="n">
        <v>14</v>
      </c>
      <c r="V4" s="3" t="n">
        <v>15</v>
      </c>
      <c r="W4" s="3" t="n">
        <v>16</v>
      </c>
    </row>
    <row r="5">
      <c r="A5" s="4" t="n">
        <v>0</v>
      </c>
      <c r="B5" s="6" t="inlineStr">
        <is>
          <t>프로젝트 셋업</t>
        </is>
      </c>
      <c r="C5" s="5">
        <f>COUNTIF(WBS!$A$5:$A$385,$A5)</f>
        <v/>
      </c>
      <c r="D5" s="5">
        <f>SUMIF(WBS!$A$5:$A$385,$A5,WBS!$F$5:$F$385)</f>
        <v/>
      </c>
      <c r="E5" s="5" t="n">
        <v>1</v>
      </c>
      <c r="F5" s="5" t="n">
        <v>2</v>
      </c>
      <c r="G5" s="5">
        <f>$F5-$E5+1</f>
        <v/>
      </c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</row>
    <row r="6">
      <c r="A6" s="10" t="n">
        <v>1</v>
      </c>
      <c r="B6" s="6" t="inlineStr">
        <is>
          <t>DB 스키마 + RLS</t>
        </is>
      </c>
      <c r="C6" s="5">
        <f>COUNTIF(WBS!$A$5:$A$385,$A6)</f>
        <v/>
      </c>
      <c r="D6" s="5">
        <f>SUMIF(WBS!$A$5:$A$385,$A6,WBS!$F$5:$F$385)</f>
        <v/>
      </c>
      <c r="E6" s="5" t="n">
        <v>2</v>
      </c>
      <c r="F6" s="5" t="n">
        <v>4</v>
      </c>
      <c r="G6" s="5">
        <f>$F6-$E6+1</f>
        <v/>
      </c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</row>
    <row r="7">
      <c r="A7" s="11" t="n">
        <v>2</v>
      </c>
      <c r="B7" s="6" t="inlineStr">
        <is>
          <t>인증 (Auth)</t>
        </is>
      </c>
      <c r="C7" s="5">
        <f>COUNTIF(WBS!$A$5:$A$385,$A7)</f>
        <v/>
      </c>
      <c r="D7" s="5">
        <f>SUMIF(WBS!$A$5:$A$385,$A7,WBS!$F$5:$F$385)</f>
        <v/>
      </c>
      <c r="E7" s="5" t="n">
        <v>4</v>
      </c>
      <c r="F7" s="5" t="n">
        <v>6</v>
      </c>
      <c r="G7" s="5">
        <f>$F7-$E7+1</f>
        <v/>
      </c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</row>
    <row r="8">
      <c r="A8" s="12" t="n">
        <v>3</v>
      </c>
      <c r="B8" s="6" t="inlineStr">
        <is>
          <t>사용자·당사자·매핑</t>
        </is>
      </c>
      <c r="C8" s="5">
        <f>COUNTIF(WBS!$A$5:$A$385,$A8)</f>
        <v/>
      </c>
      <c r="D8" s="5">
        <f>SUMIF(WBS!$A$5:$A$385,$A8,WBS!$F$5:$F$385)</f>
        <v/>
      </c>
      <c r="E8" s="5" t="n">
        <v>5</v>
      </c>
      <c r="F8" s="5" t="n">
        <v>7</v>
      </c>
      <c r="G8" s="5">
        <f>$F8-$E8+1</f>
        <v/>
      </c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</row>
    <row r="9">
      <c r="A9" s="13" t="n">
        <v>4</v>
      </c>
      <c r="B9" s="6" t="inlineStr">
        <is>
          <t>권한 관리</t>
        </is>
      </c>
      <c r="C9" s="5">
        <f>COUNTIF(WBS!$A$5:$A$385,$A9)</f>
        <v/>
      </c>
      <c r="D9" s="5">
        <f>SUMIF(WBS!$A$5:$A$385,$A9,WBS!$F$5:$F$385)</f>
        <v/>
      </c>
      <c r="E9" s="5" t="n">
        <v>6</v>
      </c>
      <c r="F9" s="5" t="n">
        <v>8</v>
      </c>
      <c r="G9" s="5">
        <f>$F9-$E9+1</f>
        <v/>
      </c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</row>
    <row r="10">
      <c r="A10" s="14" t="n">
        <v>5</v>
      </c>
      <c r="B10" s="6" t="inlineStr">
        <is>
          <t>기록 (Records)</t>
        </is>
      </c>
      <c r="C10" s="5">
        <f>COUNTIF(WBS!$A$5:$A$385,$A10)</f>
        <v/>
      </c>
      <c r="D10" s="5">
        <f>SUMIF(WBS!$A$5:$A$385,$A10,WBS!$F$5:$F$385)</f>
        <v/>
      </c>
      <c r="E10" s="5" t="n">
        <v>7</v>
      </c>
      <c r="F10" s="5" t="n">
        <v>12</v>
      </c>
      <c r="G10" s="5">
        <f>$F10-$E10+1</f>
        <v/>
      </c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</row>
    <row r="11">
      <c r="A11" s="15" t="n">
        <v>6</v>
      </c>
      <c r="B11" s="6" t="inlineStr">
        <is>
          <t>자기표현</t>
        </is>
      </c>
      <c r="C11" s="5">
        <f>COUNTIF(WBS!$A$5:$A$385,$A11)</f>
        <v/>
      </c>
      <c r="D11" s="5">
        <f>SUMIF(WBS!$A$5:$A$385,$A11,WBS!$F$5:$F$385)</f>
        <v/>
      </c>
      <c r="E11" s="5" t="n">
        <v>9</v>
      </c>
      <c r="F11" s="5" t="n">
        <v>10</v>
      </c>
      <c r="G11" s="5">
        <f>$F11-$E11+1</f>
        <v/>
      </c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</row>
    <row r="12">
      <c r="A12" s="16" t="n">
        <v>7</v>
      </c>
      <c r="B12" s="6" t="inlineStr">
        <is>
          <t>파일 첨부</t>
        </is>
      </c>
      <c r="C12" s="5">
        <f>COUNTIF(WBS!$A$5:$A$385,$A12)</f>
        <v/>
      </c>
      <c r="D12" s="5">
        <f>SUMIF(WBS!$A$5:$A$385,$A12,WBS!$F$5:$F$385)</f>
        <v/>
      </c>
      <c r="E12" s="5" t="n">
        <v>9</v>
      </c>
      <c r="F12" s="5" t="n">
        <v>10</v>
      </c>
      <c r="G12" s="5">
        <f>$F12-$E12+1</f>
        <v/>
      </c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</row>
    <row r="13">
      <c r="A13" s="17" t="n">
        <v>8</v>
      </c>
      <c r="B13" s="6" t="inlineStr">
        <is>
          <t>이정표·타임라인</t>
        </is>
      </c>
      <c r="C13" s="5">
        <f>COUNTIF(WBS!$A$5:$A$385,$A13)</f>
        <v/>
      </c>
      <c r="D13" s="5">
        <f>SUMIF(WBS!$A$5:$A$385,$A13,WBS!$F$5:$F$385)</f>
        <v/>
      </c>
      <c r="E13" s="5" t="n">
        <v>10</v>
      </c>
      <c r="F13" s="5" t="n">
        <v>12</v>
      </c>
      <c r="G13" s="5">
        <f>$F13-$E13+1</f>
        <v/>
      </c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</row>
    <row r="14">
      <c r="A14" s="18" t="n">
        <v>9</v>
      </c>
      <c r="B14" s="6" t="inlineStr">
        <is>
          <t>인수인계</t>
        </is>
      </c>
      <c r="C14" s="5">
        <f>COUNTIF(WBS!$A$5:$A$385,$A14)</f>
        <v/>
      </c>
      <c r="D14" s="5">
        <f>SUMIF(WBS!$A$5:$A$385,$A14,WBS!$F$5:$F$385)</f>
        <v/>
      </c>
      <c r="E14" s="5" t="n">
        <v>11</v>
      </c>
      <c r="F14" s="5" t="n">
        <v>13</v>
      </c>
      <c r="G14" s="5">
        <f>$F14-$E14+1</f>
        <v/>
      </c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</row>
    <row r="15">
      <c r="A15" s="19" t="n">
        <v>10</v>
      </c>
      <c r="B15" s="6" t="inlineStr">
        <is>
          <t>알림</t>
        </is>
      </c>
      <c r="C15" s="5">
        <f>COUNTIF(WBS!$A$5:$A$385,$A15)</f>
        <v/>
      </c>
      <c r="D15" s="5">
        <f>SUMIF(WBS!$A$5:$A$385,$A15,WBS!$F$5:$F$385)</f>
        <v/>
      </c>
      <c r="E15" s="5" t="n">
        <v>11</v>
      </c>
      <c r="F15" s="5" t="n">
        <v>13</v>
      </c>
      <c r="G15" s="5">
        <f>$F15-$E15+1</f>
        <v/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</row>
    <row r="16">
      <c r="A16" s="20" t="n">
        <v>11</v>
      </c>
      <c r="B16" s="6" t="inlineStr">
        <is>
          <t>접근 로그</t>
        </is>
      </c>
      <c r="C16" s="5">
        <f>COUNTIF(WBS!$A$5:$A$385,$A16)</f>
        <v/>
      </c>
      <c r="D16" s="5">
        <f>SUMIF(WBS!$A$5:$A$385,$A16,WBS!$F$5:$F$385)</f>
        <v/>
      </c>
      <c r="E16" s="5" t="n">
        <v>12</v>
      </c>
      <c r="F16" s="5" t="n">
        <v>13</v>
      </c>
      <c r="G16" s="5">
        <f>$F16-$E16+1</f>
        <v/>
      </c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</row>
    <row r="17">
      <c r="A17" s="21" t="n">
        <v>12</v>
      </c>
      <c r="B17" s="6" t="inlineStr">
        <is>
          <t>디자인 시스템</t>
        </is>
      </c>
      <c r="C17" s="5">
        <f>COUNTIF(WBS!$A$5:$A$385,$A17)</f>
        <v/>
      </c>
      <c r="D17" s="5">
        <f>SUMIF(WBS!$A$5:$A$385,$A17,WBS!$F$5:$F$385)</f>
        <v/>
      </c>
      <c r="E17" s="5" t="n">
        <v>4</v>
      </c>
      <c r="F17" s="5" t="n">
        <v>6</v>
      </c>
      <c r="G17" s="5">
        <f>$F17-$E17+1</f>
        <v/>
      </c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</row>
    <row r="18">
      <c r="A18" s="22" t="n">
        <v>13</v>
      </c>
      <c r="B18" s="6" t="inlineStr">
        <is>
          <t>웹 UI — 보호자</t>
        </is>
      </c>
      <c r="C18" s="5">
        <f>COUNTIF(WBS!$A$5:$A$385,$A18)</f>
        <v/>
      </c>
      <c r="D18" s="5">
        <f>SUMIF(WBS!$A$5:$A$385,$A18,WBS!$F$5:$F$385)</f>
        <v/>
      </c>
      <c r="E18" s="5" t="n">
        <v>7</v>
      </c>
      <c r="F18" s="5" t="n">
        <v>11</v>
      </c>
      <c r="G18" s="5">
        <f>$F18-$E18+1</f>
        <v/>
      </c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</row>
    <row r="19">
      <c r="A19" s="23" t="n">
        <v>14</v>
      </c>
      <c r="B19" s="6" t="inlineStr">
        <is>
          <t>웹 UI — 당사자(접근성)</t>
        </is>
      </c>
      <c r="C19" s="5">
        <f>COUNTIF(WBS!$A$5:$A$385,$A19)</f>
        <v/>
      </c>
      <c r="D19" s="5">
        <f>SUMIF(WBS!$A$5:$A$385,$A19,WBS!$F$5:$F$385)</f>
        <v/>
      </c>
      <c r="E19" s="5" t="n">
        <v>10</v>
      </c>
      <c r="F19" s="5" t="n">
        <v>12</v>
      </c>
      <c r="G19" s="5">
        <f>$F19-$E19+1</f>
        <v/>
      </c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</row>
    <row r="20">
      <c r="A20" s="24" t="n">
        <v>15</v>
      </c>
      <c r="B20" s="6" t="inlineStr">
        <is>
          <t>웹 UI — 전문가(4역할)</t>
        </is>
      </c>
      <c r="C20" s="5">
        <f>COUNTIF(WBS!$A$5:$A$385,$A20)</f>
        <v/>
      </c>
      <c r="D20" s="5">
        <f>SUMIF(WBS!$A$5:$A$385,$A20,WBS!$F$5:$F$385)</f>
        <v/>
      </c>
      <c r="E20" s="5" t="n">
        <v>9</v>
      </c>
      <c r="F20" s="5" t="n">
        <v>14</v>
      </c>
      <c r="G20" s="5">
        <f>$F20-$E20+1</f>
        <v/>
      </c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</row>
    <row r="21">
      <c r="A21" s="10" t="n">
        <v>16</v>
      </c>
      <c r="B21" s="6" t="inlineStr">
        <is>
          <t>모바일 앱(RN)</t>
        </is>
      </c>
      <c r="C21" s="5">
        <f>COUNTIF(WBS!$A$5:$A$385,$A21)</f>
        <v/>
      </c>
      <c r="D21" s="5">
        <f>SUMIF(WBS!$A$5:$A$385,$A21,WBS!$F$5:$F$385)</f>
        <v/>
      </c>
      <c r="E21" s="5" t="n">
        <v>11</v>
      </c>
      <c r="F21" s="5" t="n">
        <v>15</v>
      </c>
      <c r="G21" s="5">
        <f>$F21-$E21+1</f>
        <v/>
      </c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</row>
    <row r="22">
      <c r="A22" s="25" t="n">
        <v>17</v>
      </c>
      <c r="B22" s="6" t="inlineStr">
        <is>
          <t>SEO·보안·접근성</t>
        </is>
      </c>
      <c r="C22" s="5">
        <f>COUNTIF(WBS!$A$5:$A$385,$A22)</f>
        <v/>
      </c>
      <c r="D22" s="5">
        <f>SUMIF(WBS!$A$5:$A$385,$A22,WBS!$F$5:$F$385)</f>
        <v/>
      </c>
      <c r="E22" s="5" t="n">
        <v>13</v>
      </c>
      <c r="F22" s="5" t="n">
        <v>15</v>
      </c>
      <c r="G22" s="5">
        <f>$F22-$E22+1</f>
        <v/>
      </c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</row>
    <row r="23">
      <c r="A23" s="24" t="n">
        <v>18</v>
      </c>
      <c r="B23" s="6" t="inlineStr">
        <is>
          <t>QA·테스트</t>
        </is>
      </c>
      <c r="C23" s="5">
        <f>COUNTIF(WBS!$A$5:$A$385,$A23)</f>
        <v/>
      </c>
      <c r="D23" s="5">
        <f>SUMIF(WBS!$A$5:$A$385,$A23,WBS!$F$5:$F$385)</f>
        <v/>
      </c>
      <c r="E23" s="5" t="n">
        <v>14</v>
      </c>
      <c r="F23" s="5" t="n">
        <v>16</v>
      </c>
      <c r="G23" s="5">
        <f>$F23-$E23+1</f>
        <v/>
      </c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</row>
    <row r="24">
      <c r="A24" s="13" t="n">
        <v>19</v>
      </c>
      <c r="B24" s="6" t="inlineStr">
        <is>
          <t>CI/CD·배포</t>
        </is>
      </c>
      <c r="C24" s="5">
        <f>COUNTIF(WBS!$A$5:$A$385,$A24)</f>
        <v/>
      </c>
      <c r="D24" s="5">
        <f>SUMIF(WBS!$A$5:$A$385,$A24,WBS!$F$5:$F$385)</f>
        <v/>
      </c>
      <c r="E24" s="5" t="n">
        <v>15</v>
      </c>
      <c r="F24" s="5" t="n">
        <v>16</v>
      </c>
      <c r="G24" s="5">
        <f>$F24-$E24+1</f>
        <v/>
      </c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</row>
    <row r="25">
      <c r="A25" s="26" t="n"/>
      <c r="B25" s="27" t="inlineStr">
        <is>
          <t>합계</t>
        </is>
      </c>
      <c r="C25" s="28">
        <f>SUM(C5:C24)</f>
        <v/>
      </c>
      <c r="D25" s="28">
        <f>SUM(D5:D24)</f>
        <v/>
      </c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</row>
    <row r="27">
      <c r="A27" s="32" t="inlineStr">
        <is>
          <t>범례</t>
        </is>
      </c>
      <c r="B27" s="2" t="inlineStr">
        <is>
          <t>막대 = 해당 Phase 진행 주차 / 색상 = Phase 고유색</t>
        </is>
      </c>
    </row>
    <row r="28">
      <c r="B28" s="2" t="inlineStr">
        <is>
          <t>※ 일정은 의존성 차트(부록 A) + 5인 병렬 작업 기준 추정. 팀 상황에 따라 조정.</t>
        </is>
      </c>
    </row>
  </sheetData>
  <mergeCells count="6">
    <mergeCell ref="A1:W1"/>
    <mergeCell ref="T3:W3"/>
    <mergeCell ref="H3:K3"/>
    <mergeCell ref="L3:O3"/>
    <mergeCell ref="P3:S3"/>
    <mergeCell ref="A2:W2"/>
  </mergeCells>
  <conditionalFormatting sqref="H5:W5">
    <cfRule type="expression" priority="1" dxfId="0">
      <formula>AND(H$4&gt;=$E5,H$4&lt;=$F5)</formula>
    </cfRule>
  </conditionalFormatting>
  <conditionalFormatting sqref="H6:W6">
    <cfRule type="expression" priority="2" dxfId="1">
      <formula>AND(H$4&gt;=$E6,H$4&lt;=$F6)</formula>
    </cfRule>
  </conditionalFormatting>
  <conditionalFormatting sqref="H7:W7">
    <cfRule type="expression" priority="3" dxfId="2">
      <formula>AND(H$4&gt;=$E7,H$4&lt;=$F7)</formula>
    </cfRule>
  </conditionalFormatting>
  <conditionalFormatting sqref="H8:W8">
    <cfRule type="expression" priority="4" dxfId="3">
      <formula>AND(H$4&gt;=$E8,H$4&lt;=$F8)</formula>
    </cfRule>
  </conditionalFormatting>
  <conditionalFormatting sqref="H9:W9">
    <cfRule type="expression" priority="5" dxfId="4">
      <formula>AND(H$4&gt;=$E9,H$4&lt;=$F9)</formula>
    </cfRule>
  </conditionalFormatting>
  <conditionalFormatting sqref="H10:W10">
    <cfRule type="expression" priority="6" dxfId="5">
      <formula>AND(H$4&gt;=$E10,H$4&lt;=$F10)</formula>
    </cfRule>
  </conditionalFormatting>
  <conditionalFormatting sqref="H11:W11">
    <cfRule type="expression" priority="7" dxfId="6">
      <formula>AND(H$4&gt;=$E11,H$4&lt;=$F11)</formula>
    </cfRule>
  </conditionalFormatting>
  <conditionalFormatting sqref="H12:W12">
    <cfRule type="expression" priority="8" dxfId="7">
      <formula>AND(H$4&gt;=$E12,H$4&lt;=$F12)</formula>
    </cfRule>
  </conditionalFormatting>
  <conditionalFormatting sqref="H13:W13">
    <cfRule type="expression" priority="9" dxfId="8">
      <formula>AND(H$4&gt;=$E13,H$4&lt;=$F13)</formula>
    </cfRule>
  </conditionalFormatting>
  <conditionalFormatting sqref="H14:W14">
    <cfRule type="expression" priority="10" dxfId="9">
      <formula>AND(H$4&gt;=$E14,H$4&lt;=$F14)</formula>
    </cfRule>
  </conditionalFormatting>
  <conditionalFormatting sqref="H15:W15">
    <cfRule type="expression" priority="11" dxfId="10">
      <formula>AND(H$4&gt;=$E15,H$4&lt;=$F15)</formula>
    </cfRule>
  </conditionalFormatting>
  <conditionalFormatting sqref="H16:W16">
    <cfRule type="expression" priority="12" dxfId="11">
      <formula>AND(H$4&gt;=$E16,H$4&lt;=$F16)</formula>
    </cfRule>
  </conditionalFormatting>
  <conditionalFormatting sqref="H17:W17">
    <cfRule type="expression" priority="13" dxfId="12">
      <formula>AND(H$4&gt;=$E17,H$4&lt;=$F17)</formula>
    </cfRule>
  </conditionalFormatting>
  <conditionalFormatting sqref="H18:W18">
    <cfRule type="expression" priority="14" dxfId="13">
      <formula>AND(H$4&gt;=$E18,H$4&lt;=$F18)</formula>
    </cfRule>
  </conditionalFormatting>
  <conditionalFormatting sqref="H19:W19">
    <cfRule type="expression" priority="15" dxfId="14">
      <formula>AND(H$4&gt;=$E19,H$4&lt;=$F19)</formula>
    </cfRule>
  </conditionalFormatting>
  <conditionalFormatting sqref="H20:W20">
    <cfRule type="expression" priority="16" dxfId="15">
      <formula>AND(H$4&gt;=$E20,H$4&lt;=$F20)</formula>
    </cfRule>
  </conditionalFormatting>
  <conditionalFormatting sqref="H21:W21">
    <cfRule type="expression" priority="17" dxfId="1">
      <formula>AND(H$4&gt;=$E21,H$4&lt;=$F21)</formula>
    </cfRule>
  </conditionalFormatting>
  <conditionalFormatting sqref="H22:W22">
    <cfRule type="expression" priority="18" dxfId="16">
      <formula>AND(H$4&gt;=$E22,H$4&lt;=$F22)</formula>
    </cfRule>
  </conditionalFormatting>
  <conditionalFormatting sqref="H23:W23">
    <cfRule type="expression" priority="19" dxfId="15">
      <formula>AND(H$4&gt;=$E23,H$4&lt;=$F23)</formula>
    </cfRule>
  </conditionalFormatting>
  <conditionalFormatting sqref="H24:W24">
    <cfRule type="expression" priority="20" dxfId="4">
      <formula>AND(H$4&gt;=$E24,H$4&lt;=$F24)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2026-06-13T08:32:55Z</dcterms:created>
  <dcterms:modified xmlns:dcterms="http://purl.org/dc/terms/" xmlns:xsi="http://www.w3.org/2001/XMLSchema-instance" xsi:type="dcterms:W3CDTF">2026-06-13T08:50:28Z</dcterms:modified>
</cp:coreProperties>
</file>